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nce\Downloads\"/>
    </mc:Choice>
  </mc:AlternateContent>
  <xr:revisionPtr revIDLastSave="0" documentId="13_ncr:1_{65335EE6-16D7-4E21-AD72-292338A4810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2" r:id="rId1"/>
    <sheet name="data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1" l="1"/>
  <c r="F21" i="1"/>
  <c r="G21" i="1" s="1"/>
  <c r="H21" i="1" s="1"/>
  <c r="E21" i="1"/>
  <c r="E20" i="1"/>
  <c r="F20" i="1" s="1"/>
  <c r="G20" i="1" s="1"/>
  <c r="H20" i="1" s="1"/>
  <c r="E19" i="1"/>
  <c r="F18" i="1" s="1"/>
  <c r="G18" i="1" s="1"/>
  <c r="H18" i="1" s="1"/>
  <c r="E18" i="1"/>
  <c r="E17" i="1"/>
  <c r="F17" i="1" s="1"/>
  <c r="G17" i="1" s="1"/>
  <c r="H17" i="1" s="1"/>
  <c r="E16" i="1"/>
  <c r="F16" i="1" s="1"/>
  <c r="G16" i="1" s="1"/>
  <c r="H16" i="1" s="1"/>
  <c r="E15" i="1"/>
  <c r="F15" i="1" s="1"/>
  <c r="G15" i="1" s="1"/>
  <c r="H15" i="1" s="1"/>
  <c r="E14" i="1"/>
  <c r="F14" i="1" s="1"/>
  <c r="G14" i="1" s="1"/>
  <c r="H14" i="1" s="1"/>
  <c r="E13" i="1"/>
  <c r="F13" i="1" s="1"/>
  <c r="G13" i="1" s="1"/>
  <c r="F12" i="1"/>
  <c r="G12" i="1" s="1"/>
  <c r="H12" i="1" s="1"/>
  <c r="E12" i="1"/>
  <c r="F11" i="1"/>
  <c r="G11" i="1" s="1"/>
  <c r="H11" i="1" s="1"/>
  <c r="E11" i="1"/>
  <c r="E10" i="1"/>
  <c r="F10" i="1" s="1"/>
  <c r="G10" i="1" s="1"/>
  <c r="E9" i="1"/>
  <c r="F9" i="1" s="1"/>
  <c r="G9" i="1" s="1"/>
  <c r="H9" i="1" s="1"/>
  <c r="E8" i="1"/>
  <c r="F8" i="1" s="1"/>
  <c r="G8" i="1" s="1"/>
  <c r="E7" i="1"/>
  <c r="F7" i="1" s="1"/>
  <c r="G7" i="1" s="1"/>
  <c r="U5" i="1" l="1"/>
  <c r="H13" i="1"/>
  <c r="H7" i="1"/>
  <c r="H8" i="1"/>
  <c r="U8" i="1"/>
  <c r="U6" i="1"/>
  <c r="H10" i="1"/>
  <c r="F19" i="1"/>
  <c r="G19" i="1" s="1"/>
  <c r="H19" i="1" s="1"/>
  <c r="U7" i="1" l="1"/>
  <c r="T7" i="1" s="1"/>
  <c r="T5" i="1"/>
  <c r="I25" i="1" l="1"/>
  <c r="I9" i="1"/>
  <c r="I5" i="1"/>
  <c r="I21" i="1"/>
  <c r="I13" i="1"/>
  <c r="I17" i="1"/>
  <c r="I15" i="1"/>
  <c r="I19" i="1"/>
  <c r="I27" i="1"/>
  <c r="I11" i="1"/>
  <c r="I23" i="1"/>
  <c r="I7" i="1"/>
  <c r="T8" i="1"/>
  <c r="T6" i="1"/>
  <c r="K7" i="1" l="1"/>
  <c r="J7" i="1"/>
  <c r="K23" i="1"/>
  <c r="J23" i="1"/>
  <c r="K11" i="1"/>
  <c r="J11" i="1"/>
  <c r="J27" i="1"/>
  <c r="K19" i="1"/>
  <c r="J19" i="1"/>
  <c r="J15" i="1"/>
  <c r="K15" i="1"/>
  <c r="K17" i="1"/>
  <c r="J17" i="1"/>
  <c r="K13" i="1"/>
  <c r="J13" i="1"/>
  <c r="K21" i="1"/>
  <c r="J21" i="1"/>
  <c r="K5" i="1"/>
  <c r="J5" i="1"/>
  <c r="I14" i="1"/>
  <c r="I18" i="1"/>
  <c r="I22" i="1"/>
  <c r="I10" i="1"/>
  <c r="I26" i="1"/>
  <c r="I6" i="1"/>
  <c r="K9" i="1"/>
  <c r="J9" i="1"/>
  <c r="I24" i="1"/>
  <c r="I16" i="1"/>
  <c r="I8" i="1"/>
  <c r="I28" i="1"/>
  <c r="I20" i="1"/>
  <c r="I12" i="1"/>
  <c r="J25" i="1"/>
  <c r="K24" i="1" l="1"/>
  <c r="J24" i="1"/>
  <c r="K6" i="1"/>
  <c r="J6" i="1"/>
  <c r="J26" i="1"/>
  <c r="K10" i="1"/>
  <c r="J10" i="1"/>
  <c r="K12" i="1"/>
  <c r="J12" i="1"/>
  <c r="K22" i="1"/>
  <c r="J22" i="1"/>
  <c r="K20" i="1"/>
  <c r="J20" i="1"/>
  <c r="K18" i="1"/>
  <c r="J18" i="1"/>
  <c r="J28" i="1"/>
  <c r="K14" i="1"/>
  <c r="J14" i="1"/>
  <c r="J8" i="1"/>
  <c r="K8" i="1"/>
  <c r="K16" i="1"/>
  <c r="J16" i="1"/>
  <c r="T11" i="1"/>
  <c r="T12" i="1"/>
  <c r="L28" i="1" l="1"/>
  <c r="M28" i="1" s="1"/>
  <c r="L25" i="1"/>
  <c r="M25" i="1" s="1"/>
  <c r="L21" i="1"/>
  <c r="M21" i="1" s="1"/>
  <c r="N21" i="1" s="1"/>
  <c r="L13" i="1"/>
  <c r="M13" i="1" s="1"/>
  <c r="N13" i="1" s="1"/>
  <c r="L7" i="1"/>
  <c r="M7" i="1" s="1"/>
  <c r="N7" i="1" s="1"/>
  <c r="L20" i="1"/>
  <c r="M20" i="1" s="1"/>
  <c r="N20" i="1" s="1"/>
  <c r="L22" i="1"/>
  <c r="M22" i="1" s="1"/>
  <c r="N22" i="1" s="1"/>
  <c r="L19" i="1"/>
  <c r="M19" i="1" s="1"/>
  <c r="N19" i="1" s="1"/>
  <c r="L12" i="1"/>
  <c r="M12" i="1" s="1"/>
  <c r="N12" i="1" s="1"/>
  <c r="L27" i="1"/>
  <c r="M27" i="1" s="1"/>
  <c r="L24" i="1"/>
  <c r="M24" i="1" s="1"/>
  <c r="N24" i="1" s="1"/>
  <c r="L14" i="1"/>
  <c r="M14" i="1" s="1"/>
  <c r="N14" i="1" s="1"/>
  <c r="L10" i="1"/>
  <c r="M10" i="1" s="1"/>
  <c r="N10" i="1" s="1"/>
  <c r="L5" i="1"/>
  <c r="M5" i="1" s="1"/>
  <c r="N5" i="1" s="1"/>
  <c r="L11" i="1"/>
  <c r="M11" i="1" s="1"/>
  <c r="N11" i="1" s="1"/>
  <c r="L15" i="1"/>
  <c r="M15" i="1" s="1"/>
  <c r="N15" i="1" s="1"/>
  <c r="L26" i="1"/>
  <c r="M26" i="1" s="1"/>
  <c r="T13" i="1"/>
  <c r="L23" i="1"/>
  <c r="M23" i="1" s="1"/>
  <c r="N23" i="1" s="1"/>
  <c r="L6" i="1"/>
  <c r="M6" i="1" s="1"/>
  <c r="N6" i="1" s="1"/>
  <c r="L16" i="1"/>
  <c r="M16" i="1" s="1"/>
  <c r="N16" i="1" s="1"/>
  <c r="L17" i="1"/>
  <c r="M17" i="1" s="1"/>
  <c r="N17" i="1" s="1"/>
  <c r="L18" i="1"/>
  <c r="M18" i="1" s="1"/>
  <c r="N18" i="1" s="1"/>
  <c r="L9" i="1"/>
  <c r="M9" i="1" s="1"/>
  <c r="N9" i="1" s="1"/>
  <c r="L8" i="1"/>
  <c r="M8" i="1" s="1"/>
  <c r="N8" i="1" s="1"/>
  <c r="Q14" i="1" l="1"/>
  <c r="P14" i="1"/>
  <c r="O14" i="1"/>
  <c r="Q24" i="1"/>
  <c r="P24" i="1"/>
  <c r="O24" i="1"/>
  <c r="O12" i="1"/>
  <c r="Q12" i="1"/>
  <c r="P12" i="1"/>
  <c r="O22" i="1"/>
  <c r="Q22" i="1"/>
  <c r="P22" i="1"/>
  <c r="Q9" i="1"/>
  <c r="P9" i="1"/>
  <c r="O9" i="1"/>
  <c r="Q18" i="1"/>
  <c r="P18" i="1"/>
  <c r="O18" i="1"/>
  <c r="Q17" i="1"/>
  <c r="P17" i="1"/>
  <c r="O17" i="1"/>
  <c r="Q16" i="1"/>
  <c r="P16" i="1"/>
  <c r="O16" i="1"/>
  <c r="P6" i="1"/>
  <c r="O6" i="1"/>
  <c r="Q6" i="1"/>
  <c r="O19" i="1"/>
  <c r="Q19" i="1"/>
  <c r="P19" i="1"/>
  <c r="Q23" i="1"/>
  <c r="P23" i="1"/>
  <c r="O23" i="1"/>
  <c r="Q20" i="1"/>
  <c r="P20" i="1"/>
  <c r="O20" i="1"/>
  <c r="Q7" i="1"/>
  <c r="P7" i="1"/>
  <c r="O7" i="1"/>
  <c r="P15" i="1"/>
  <c r="O15" i="1"/>
  <c r="Q15" i="1"/>
  <c r="Q13" i="1"/>
  <c r="P13" i="1"/>
  <c r="O13" i="1"/>
  <c r="Q11" i="1"/>
  <c r="P11" i="1"/>
  <c r="O11" i="1"/>
  <c r="Q21" i="1"/>
  <c r="P21" i="1"/>
  <c r="O21" i="1"/>
  <c r="O5" i="1"/>
  <c r="Q5" i="1"/>
  <c r="P5" i="1"/>
  <c r="T17" i="1" s="1"/>
  <c r="Q8" i="1"/>
  <c r="P8" i="1"/>
  <c r="O8" i="1"/>
  <c r="Q10" i="1"/>
  <c r="P10" i="1"/>
  <c r="O10" i="1"/>
  <c r="T18" i="1" l="1"/>
  <c r="T16" i="1"/>
</calcChain>
</file>

<file path=xl/sharedStrings.xml><?xml version="1.0" encoding="utf-8"?>
<sst xmlns="http://schemas.openxmlformats.org/spreadsheetml/2006/main" count="91" uniqueCount="61">
  <si>
    <t>Quarterly Data for Mobile Phone Sales</t>
  </si>
  <si>
    <t>Instructions</t>
  </si>
  <si>
    <t>Provide for the highlighted values</t>
  </si>
  <si>
    <t>Seasonality Values</t>
  </si>
  <si>
    <t>Put the Chart Here</t>
  </si>
  <si>
    <t>Year</t>
  </si>
  <si>
    <t>Quarter</t>
  </si>
  <si>
    <t>Sales (10,000s)</t>
  </si>
  <si>
    <t>t</t>
  </si>
  <si>
    <t>MA</t>
  </si>
  <si>
    <t>CMA</t>
  </si>
  <si>
    <t>I_t, S_t</t>
  </si>
  <si>
    <t>I_t, S_t %</t>
  </si>
  <si>
    <t>S_t</t>
  </si>
  <si>
    <t>S_t %</t>
  </si>
  <si>
    <t>Deseasonalize</t>
  </si>
  <si>
    <t>T_t</t>
  </si>
  <si>
    <t>Forecast/Predicted</t>
  </si>
  <si>
    <t>Forecast Error</t>
  </si>
  <si>
    <t>Absolute Error</t>
  </si>
  <si>
    <t>Squared Error</t>
  </si>
  <si>
    <t>Absolute % Error</t>
  </si>
  <si>
    <t>Year 1</t>
  </si>
  <si>
    <t>Year 2</t>
  </si>
  <si>
    <t>Modeling for T_t</t>
  </si>
  <si>
    <t>Intercept</t>
  </si>
  <si>
    <t>Slope</t>
  </si>
  <si>
    <t>Year 3</t>
  </si>
  <si>
    <t>Model</t>
  </si>
  <si>
    <t>Error Values</t>
  </si>
  <si>
    <t>MAD or MAE</t>
  </si>
  <si>
    <t>Year 4</t>
  </si>
  <si>
    <t>MSE</t>
  </si>
  <si>
    <t>MAPE</t>
  </si>
  <si>
    <t>Year 5</t>
  </si>
  <si>
    <t>Put the Regression Results Here</t>
  </si>
  <si>
    <t>Year 6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</si>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</sst>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0" xfId="0" applyFill="1"/>
    <xf numFmtId="0" fontId="0" fillId="0" borderId="1" xfId="0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2" fillId="2" borderId="1" xfId="1" applyNumberFormat="1" applyFill="1" applyBorder="1"/>
    <xf numFmtId="164" fontId="0" fillId="2" borderId="1" xfId="0" applyNumberFormat="1" applyFill="1" applyBorder="1"/>
    <xf numFmtId="2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  <xf numFmtId="1" fontId="0" fillId="0" borderId="0" xfId="0" applyNumberFormat="1" applyFill="1" applyBorder="1" applyAlignment="1"/>
    <xf numFmtId="1" fontId="0" fillId="0" borderId="2" xfId="0" applyNumberForma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>
                <a:effectLst/>
              </a:rPr>
              <a:t>Mobile Phone Sales: Actual vs Forecast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data!$D$5:$D$24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data!$C$5:$C$24</c:f>
              <c:numCache>
                <c:formatCode>0.0</c:formatCode>
                <c:ptCount val="20"/>
                <c:pt idx="0">
                  <c:v>4.3</c:v>
                </c:pt>
                <c:pt idx="1">
                  <c:v>4.4000000000000004</c:v>
                </c:pt>
                <c:pt idx="2">
                  <c:v>5.8</c:v>
                </c:pt>
                <c:pt idx="3">
                  <c:v>6.1</c:v>
                </c:pt>
                <c:pt idx="4">
                  <c:v>5.4</c:v>
                </c:pt>
                <c:pt idx="5">
                  <c:v>5.7</c:v>
                </c:pt>
                <c:pt idx="6">
                  <c:v>6.2</c:v>
                </c:pt>
                <c:pt idx="7">
                  <c:v>7</c:v>
                </c:pt>
                <c:pt idx="8">
                  <c:v>5.4</c:v>
                </c:pt>
                <c:pt idx="9">
                  <c:v>5.4</c:v>
                </c:pt>
                <c:pt idx="10">
                  <c:v>7.6</c:v>
                </c:pt>
                <c:pt idx="11">
                  <c:v>6.4</c:v>
                </c:pt>
                <c:pt idx="12">
                  <c:v>6</c:v>
                </c:pt>
                <c:pt idx="13">
                  <c:v>6.1</c:v>
                </c:pt>
                <c:pt idx="14">
                  <c:v>8.4</c:v>
                </c:pt>
                <c:pt idx="15">
                  <c:v>8.1999999999999993</c:v>
                </c:pt>
                <c:pt idx="16" formatCode="General">
                  <c:v>8</c:v>
                </c:pt>
                <c:pt idx="17" formatCode="General">
                  <c:v>7.6</c:v>
                </c:pt>
                <c:pt idx="18" formatCode="General">
                  <c:v>7.2</c:v>
                </c:pt>
                <c:pt idx="19" formatCode="General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BA-4769-B8F3-F8BFAB4BADA8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data!$D$5:$D$24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data!$M$5:$M$24</c:f>
              <c:numCache>
                <c:formatCode>0.00</c:formatCode>
                <c:ptCount val="20"/>
                <c:pt idx="0">
                  <c:v>4.6888405497711263</c:v>
                </c:pt>
                <c:pt idx="1">
                  <c:v>4.650290716392937</c:v>
                </c:pt>
                <c:pt idx="2">
                  <c:v>5.9312640695943584</c:v>
                </c:pt>
                <c:pt idx="3">
                  <c:v>5.8545799415155653</c:v>
                </c:pt>
                <c:pt idx="4">
                  <c:v>5.2157611801753649</c:v>
                </c:pt>
                <c:pt idx="5">
                  <c:v>5.1585986045227408</c:v>
                </c:pt>
                <c:pt idx="6">
                  <c:v>6.562345558352324</c:v>
                </c:pt>
                <c:pt idx="7">
                  <c:v>6.4613620283749311</c:v>
                </c:pt>
                <c:pt idx="8">
                  <c:v>5.7426818105796054</c:v>
                </c:pt>
                <c:pt idx="9">
                  <c:v>5.6669064926525445</c:v>
                </c:pt>
                <c:pt idx="10">
                  <c:v>7.1934270471102879</c:v>
                </c:pt>
                <c:pt idx="11">
                  <c:v>7.0681441152342979</c:v>
                </c:pt>
                <c:pt idx="12">
                  <c:v>6.2696024409838449</c:v>
                </c:pt>
                <c:pt idx="13">
                  <c:v>6.1752143807823483</c:v>
                </c:pt>
                <c:pt idx="14">
                  <c:v>7.8245085358682536</c:v>
                </c:pt>
                <c:pt idx="15">
                  <c:v>7.6749262020936655</c:v>
                </c:pt>
                <c:pt idx="16">
                  <c:v>6.7965230713880844</c:v>
                </c:pt>
                <c:pt idx="17">
                  <c:v>6.6835222689121521</c:v>
                </c:pt>
                <c:pt idx="18">
                  <c:v>8.4555900246262201</c:v>
                </c:pt>
                <c:pt idx="19">
                  <c:v>8.2817082889530322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BA-4769-B8F3-F8BFAB4BA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650335"/>
        <c:axId val="933637855"/>
      </c:lineChart>
      <c:catAx>
        <c:axId val="93365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37855"/>
        <c:crosses val="autoZero"/>
        <c:auto val="1"/>
        <c:lblAlgn val="ctr"/>
        <c:lblOffset val="100"/>
        <c:noMultiLvlLbl val="0"/>
      </c:catAx>
      <c:valAx>
        <c:axId val="93363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5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171450</xdr:rowOff>
    </xdr:from>
    <xdr:to>
      <xdr:col>25</xdr:col>
      <xdr:colOff>365760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B64D61-4E2D-D0E0-D282-E6C4F9036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58AD-24E6-46B6-A119-30E8D57B13E2}">
  <dimension ref="A1:I18"/>
  <sheetViews>
    <sheetView workbookViewId="0">
      <selection activeCell="I18" sqref="A1:I18"/>
    </sheetView>
  </sheetViews>
  <sheetFormatPr defaultRowHeight="14.4" x14ac:dyDescent="0.3"/>
  <sheetData>
    <row r="1" spans="1:9" x14ac:dyDescent="0.3">
      <c r="A1" t="s">
        <v>37</v>
      </c>
    </row>
    <row r="2" spans="1:9" ht="15" thickBot="1" x14ac:dyDescent="0.35"/>
    <row r="3" spans="1:9" x14ac:dyDescent="0.3">
      <c r="A3" s="20" t="s">
        <v>38</v>
      </c>
      <c r="B3" s="20"/>
    </row>
    <row r="4" spans="1:9" x14ac:dyDescent="0.3">
      <c r="A4" s="17" t="s">
        <v>39</v>
      </c>
      <c r="B4" s="17">
        <v>0.7891934518004039</v>
      </c>
    </row>
    <row r="5" spans="1:9" x14ac:dyDescent="0.3">
      <c r="A5" s="17" t="s">
        <v>40</v>
      </c>
      <c r="B5" s="17">
        <v>0.62282630436463648</v>
      </c>
    </row>
    <row r="6" spans="1:9" x14ac:dyDescent="0.3">
      <c r="A6" s="17" t="s">
        <v>41</v>
      </c>
      <c r="B6" s="17">
        <v>0.60187221016267189</v>
      </c>
    </row>
    <row r="7" spans="1:9" x14ac:dyDescent="0.3">
      <c r="A7" s="17" t="s">
        <v>42</v>
      </c>
      <c r="B7" s="17">
        <v>0.67198386351756423</v>
      </c>
    </row>
    <row r="8" spans="1:9" ht="15" thickBot="1" x14ac:dyDescent="0.35">
      <c r="A8" s="18" t="s">
        <v>43</v>
      </c>
      <c r="B8" s="18">
        <v>20</v>
      </c>
    </row>
    <row r="10" spans="1:9" ht="15" thickBot="1" x14ac:dyDescent="0.35">
      <c r="A10" t="s">
        <v>44</v>
      </c>
    </row>
    <row r="11" spans="1:9" x14ac:dyDescent="0.3">
      <c r="A11" s="19"/>
      <c r="B11" s="19" t="s">
        <v>48</v>
      </c>
      <c r="C11" s="19" t="s">
        <v>49</v>
      </c>
      <c r="D11" s="19" t="s">
        <v>50</v>
      </c>
      <c r="E11" s="19" t="s">
        <v>51</v>
      </c>
      <c r="F11" s="19" t="s">
        <v>52</v>
      </c>
    </row>
    <row r="12" spans="1:9" x14ac:dyDescent="0.3">
      <c r="A12" s="17" t="s">
        <v>45</v>
      </c>
      <c r="B12" s="17">
        <v>1</v>
      </c>
      <c r="C12" s="17">
        <v>13.421953904485026</v>
      </c>
      <c r="D12" s="17">
        <v>13.421953904485026</v>
      </c>
      <c r="E12" s="17">
        <v>29.723370447873652</v>
      </c>
      <c r="F12" s="17">
        <v>3.5286420571607211E-5</v>
      </c>
    </row>
    <row r="13" spans="1:9" x14ac:dyDescent="0.3">
      <c r="A13" s="17" t="s">
        <v>46</v>
      </c>
      <c r="B13" s="17">
        <v>18</v>
      </c>
      <c r="C13" s="17">
        <v>8.1281216309038626</v>
      </c>
      <c r="D13" s="17">
        <v>0.45156231282799236</v>
      </c>
      <c r="E13" s="17"/>
      <c r="F13" s="17"/>
    </row>
    <row r="14" spans="1:9" ht="15" thickBot="1" x14ac:dyDescent="0.35">
      <c r="A14" s="18" t="s">
        <v>47</v>
      </c>
      <c r="B14" s="18">
        <v>19</v>
      </c>
      <c r="C14" s="18">
        <v>21.550075535388888</v>
      </c>
      <c r="D14" s="18"/>
      <c r="E14" s="18"/>
      <c r="F14" s="18"/>
    </row>
    <row r="15" spans="1:9" ht="15" thickBot="1" x14ac:dyDescent="0.35"/>
    <row r="16" spans="1:9" x14ac:dyDescent="0.3">
      <c r="A16" s="19"/>
      <c r="B16" s="19" t="s">
        <v>53</v>
      </c>
      <c r="C16" s="19" t="s">
        <v>42</v>
      </c>
      <c r="D16" s="19" t="s">
        <v>54</v>
      </c>
      <c r="E16" s="19" t="s">
        <v>55</v>
      </c>
      <c r="F16" s="19" t="s">
        <v>56</v>
      </c>
      <c r="G16" s="19" t="s">
        <v>57</v>
      </c>
      <c r="H16" s="19" t="s">
        <v>58</v>
      </c>
      <c r="I16" s="19" t="s">
        <v>59</v>
      </c>
    </row>
    <row r="17" spans="1:9" x14ac:dyDescent="0.3">
      <c r="A17" s="17" t="s">
        <v>25</v>
      </c>
      <c r="B17" s="17">
        <v>2.6645352591003757E-15</v>
      </c>
      <c r="C17" s="17">
        <v>1.1846536725718213</v>
      </c>
      <c r="D17" s="17">
        <v>2.2492103141974047E-15</v>
      </c>
      <c r="E17" s="17">
        <v>1</v>
      </c>
      <c r="F17" s="17">
        <v>-2.4888650107586265</v>
      </c>
      <c r="G17" s="17">
        <v>2.4888650107586319</v>
      </c>
      <c r="H17" s="17">
        <v>-2.4888650107586265</v>
      </c>
      <c r="I17" s="17">
        <v>2.4888650107586319</v>
      </c>
    </row>
    <row r="18" spans="1:9" ht="15" thickBot="1" x14ac:dyDescent="0.35">
      <c r="A18" s="18" t="s">
        <v>60</v>
      </c>
      <c r="B18" s="18">
        <v>0.99999999999999967</v>
      </c>
      <c r="C18" s="18">
        <v>0.18342180922326262</v>
      </c>
      <c r="D18" s="18">
        <v>5.4519143837622437</v>
      </c>
      <c r="E18" s="18">
        <v>3.5286420571607279E-5</v>
      </c>
      <c r="F18" s="18">
        <v>0.61464507834196036</v>
      </c>
      <c r="G18" s="18">
        <v>1.385354921658039</v>
      </c>
      <c r="H18" s="18">
        <v>0.61464507834196036</v>
      </c>
      <c r="I18" s="18">
        <v>1.385354921658039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topLeftCell="A2" zoomScaleNormal="100" workbookViewId="0">
      <selection activeCell="I6" sqref="I6"/>
    </sheetView>
  </sheetViews>
  <sheetFormatPr defaultColWidth="8.5546875" defaultRowHeight="14.4" x14ac:dyDescent="0.3"/>
  <cols>
    <col min="1" max="1" width="16.44140625" customWidth="1"/>
    <col min="2" max="2" width="11.88671875" customWidth="1"/>
    <col min="3" max="3" width="14" customWidth="1"/>
    <col min="11" max="11" width="13" customWidth="1"/>
    <col min="13" max="13" width="17" customWidth="1"/>
    <col min="14" max="14" width="14.88671875" customWidth="1"/>
    <col min="15" max="15" width="14.109375" customWidth="1"/>
    <col min="16" max="16" width="17.5546875" customWidth="1"/>
    <col min="17" max="17" width="19.5546875" customWidth="1"/>
    <col min="19" max="19" width="10.5546875" customWidth="1"/>
    <col min="20" max="20" width="20.6640625" bestFit="1" customWidth="1"/>
    <col min="21" max="21" width="14.6640625" bestFit="1" customWidth="1"/>
    <col min="22" max="22" width="16.6640625" bestFit="1" customWidth="1"/>
    <col min="23" max="23" width="14.6640625" bestFit="1" customWidth="1"/>
    <col min="24" max="24" width="15.33203125" bestFit="1" customWidth="1"/>
    <col min="25" max="25" width="14.6640625" bestFit="1" customWidth="1"/>
    <col min="26" max="26" width="15.33203125" bestFit="1" customWidth="1"/>
    <col min="27" max="27" width="14.6640625" bestFit="1" customWidth="1"/>
  </cols>
  <sheetData>
    <row r="1" spans="1:29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">
      <c r="A2" s="4" t="s">
        <v>1</v>
      </c>
      <c r="B2" s="2" t="s">
        <v>2</v>
      </c>
      <c r="C2" s="2"/>
      <c r="D2" s="2"/>
      <c r="F2" s="5"/>
    </row>
    <row r="3" spans="1:29" x14ac:dyDescent="0.3">
      <c r="C3" s="5"/>
      <c r="D3" s="5"/>
      <c r="F3" s="4"/>
      <c r="G3" s="4"/>
      <c r="K3" s="5"/>
      <c r="M3" s="4"/>
      <c r="N3" s="4"/>
      <c r="Q3" s="4"/>
      <c r="S3" s="1" t="s">
        <v>3</v>
      </c>
      <c r="T3" s="1"/>
      <c r="V3" s="4" t="s">
        <v>4</v>
      </c>
    </row>
    <row r="4" spans="1:29" x14ac:dyDescent="0.3">
      <c r="A4" s="6" t="s">
        <v>5</v>
      </c>
      <c r="B4" s="7" t="s">
        <v>6</v>
      </c>
      <c r="C4" s="7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20</v>
      </c>
      <c r="Q4" s="6" t="s">
        <v>21</v>
      </c>
      <c r="S4" s="6" t="s">
        <v>6</v>
      </c>
      <c r="T4" s="6" t="s">
        <v>13</v>
      </c>
      <c r="V4" s="8"/>
    </row>
    <row r="5" spans="1:29" x14ac:dyDescent="0.3">
      <c r="A5" s="9" t="s">
        <v>22</v>
      </c>
      <c r="B5" s="10">
        <v>1</v>
      </c>
      <c r="C5" s="11">
        <v>4.3</v>
      </c>
      <c r="D5" s="12">
        <v>1</v>
      </c>
      <c r="E5" s="10"/>
      <c r="F5" s="10"/>
      <c r="G5" s="10"/>
      <c r="H5" s="10"/>
      <c r="I5" s="13">
        <f t="shared" ref="I5:I28" si="0">VLOOKUP(B5,$S$5:$T$8,2,0)</f>
        <v>0.9272314689932657</v>
      </c>
      <c r="J5" s="14">
        <f t="shared" ref="J5:J28" si="1">(I5-1)*100</f>
        <v>-7.2768531006734305</v>
      </c>
      <c r="K5" s="13">
        <f t="shared" ref="K5:K24" si="2">C5/I5</f>
        <v>4.6374612421952106</v>
      </c>
      <c r="L5" s="13">
        <f t="shared" ref="L5:L28" si="3">$T$11+$T$12*D5</f>
        <v>5.0568177489295074</v>
      </c>
      <c r="M5" s="13">
        <f t="shared" ref="M5:M28" si="4">I5*L5</f>
        <v>4.6888405497711263</v>
      </c>
      <c r="N5" s="13">
        <f t="shared" ref="N5:N24" si="5">C5-M5</f>
        <v>-0.38884054977112648</v>
      </c>
      <c r="O5" s="13">
        <f t="shared" ref="O5:O24" si="6">ABS(N5)</f>
        <v>0.38884054977112648</v>
      </c>
      <c r="P5" s="13">
        <f t="shared" ref="P5:P24" si="7">N5^2</f>
        <v>0.15119697314631189</v>
      </c>
      <c r="Q5" s="13">
        <f t="shared" ref="Q5:Q24" si="8">ABS(N5/C5)*100</f>
        <v>9.0428034830494539</v>
      </c>
      <c r="S5" s="10">
        <v>1</v>
      </c>
      <c r="T5" s="13">
        <f>U5*(4/SUM($U$5:$U$8))</f>
        <v>0.9272314689932657</v>
      </c>
      <c r="U5">
        <f>AVERAGEIF($B$5:$B$24,1,$G$5:$G$24)</f>
        <v>0.93096175377267976</v>
      </c>
    </row>
    <row r="6" spans="1:29" x14ac:dyDescent="0.3">
      <c r="A6" s="9"/>
      <c r="B6" s="10">
        <v>2</v>
      </c>
      <c r="C6" s="11">
        <v>4.4000000000000004</v>
      </c>
      <c r="D6" s="12">
        <v>2</v>
      </c>
      <c r="E6" s="10"/>
      <c r="F6" s="10"/>
      <c r="G6" s="10"/>
      <c r="H6" s="10"/>
      <c r="I6" s="13">
        <f t="shared" si="0"/>
        <v>0.89447830017564289</v>
      </c>
      <c r="J6" s="14">
        <f t="shared" si="1"/>
        <v>-10.552169982435711</v>
      </c>
      <c r="K6" s="13">
        <f t="shared" si="2"/>
        <v>4.919068466094707</v>
      </c>
      <c r="L6" s="13">
        <f t="shared" si="3"/>
        <v>5.1988860048139678</v>
      </c>
      <c r="M6" s="13">
        <f t="shared" si="4"/>
        <v>4.650290716392937</v>
      </c>
      <c r="N6" s="13">
        <f t="shared" si="5"/>
        <v>-0.25029071639293665</v>
      </c>
      <c r="O6" s="13">
        <f t="shared" si="6"/>
        <v>0.25029071639293665</v>
      </c>
      <c r="P6" s="13">
        <f t="shared" si="7"/>
        <v>6.2645442712489452E-2</v>
      </c>
      <c r="Q6" s="13">
        <f t="shared" si="8"/>
        <v>5.6884253725667415</v>
      </c>
      <c r="S6" s="10">
        <v>2</v>
      </c>
      <c r="T6" s="13">
        <f>U6*(4/SUM($U$5:$U$8))</f>
        <v>0.89447830017564289</v>
      </c>
      <c r="U6">
        <f>AVERAGEIF($B$5:$B$24,2,$G$5:$G$24)</f>
        <v>0.8980768178060724</v>
      </c>
    </row>
    <row r="7" spans="1:29" x14ac:dyDescent="0.3">
      <c r="A7" s="9"/>
      <c r="B7" s="10">
        <v>3</v>
      </c>
      <c r="C7" s="11">
        <v>5.8</v>
      </c>
      <c r="D7" s="12">
        <v>3</v>
      </c>
      <c r="E7" s="15">
        <f t="shared" ref="E7:E22" si="9">AVERAGE(C5:C8)</f>
        <v>5.15</v>
      </c>
      <c r="F7" s="15">
        <f t="shared" ref="F7:F21" si="10">(E7+E8)/2</f>
        <v>5.2874999999999996</v>
      </c>
      <c r="G7" s="13">
        <f t="shared" ref="G7:G21" si="11">C7/F7</f>
        <v>1.0969267139479906</v>
      </c>
      <c r="H7" s="14">
        <f t="shared" ref="H7:H21" si="12">(G7-1)*100</f>
        <v>9.6926713947990564</v>
      </c>
      <c r="I7" s="13">
        <f t="shared" si="0"/>
        <v>1.1105251571315151</v>
      </c>
      <c r="J7" s="14">
        <f t="shared" si="1"/>
        <v>11.052515713151511</v>
      </c>
      <c r="K7" s="13">
        <f t="shared" si="2"/>
        <v>5.2227542642810469</v>
      </c>
      <c r="L7" s="13">
        <f t="shared" si="3"/>
        <v>5.340954260698429</v>
      </c>
      <c r="M7" s="13">
        <f t="shared" si="4"/>
        <v>5.9312640695943584</v>
      </c>
      <c r="N7" s="13">
        <f t="shared" si="5"/>
        <v>-0.13126406959435855</v>
      </c>
      <c r="O7" s="13">
        <f t="shared" si="6"/>
        <v>0.13126406959435855</v>
      </c>
      <c r="P7" s="13">
        <f t="shared" si="7"/>
        <v>1.7230255966472603E-2</v>
      </c>
      <c r="Q7" s="13">
        <f t="shared" si="8"/>
        <v>2.2631736136958369</v>
      </c>
      <c r="S7" s="10">
        <v>3</v>
      </c>
      <c r="T7" s="13">
        <f>U7*(4/SUM($U$5:$U$8))</f>
        <v>1.1105251571315151</v>
      </c>
      <c r="U7">
        <f>AVERAGEIF($B$5:$B$24,3,$G$5:$G$24)</f>
        <v>1.1149928388586052</v>
      </c>
    </row>
    <row r="8" spans="1:29" x14ac:dyDescent="0.3">
      <c r="A8" s="9"/>
      <c r="B8" s="10">
        <v>4</v>
      </c>
      <c r="C8" s="11">
        <v>6.1</v>
      </c>
      <c r="D8" s="12">
        <v>4</v>
      </c>
      <c r="E8" s="15">
        <f t="shared" si="9"/>
        <v>5.4249999999999989</v>
      </c>
      <c r="F8" s="15">
        <f t="shared" si="10"/>
        <v>5.5874999999999986</v>
      </c>
      <c r="G8" s="13">
        <f t="shared" si="11"/>
        <v>1.0917225950783001</v>
      </c>
      <c r="H8" s="14">
        <f t="shared" si="12"/>
        <v>9.172259507830006</v>
      </c>
      <c r="I8" s="13">
        <f t="shared" si="0"/>
        <v>1.0677650736995761</v>
      </c>
      <c r="J8" s="14">
        <f t="shared" si="1"/>
        <v>6.7765073699576073</v>
      </c>
      <c r="K8" s="13">
        <f t="shared" si="2"/>
        <v>5.7128671373983169</v>
      </c>
      <c r="L8" s="13">
        <f t="shared" si="3"/>
        <v>5.4830225165828903</v>
      </c>
      <c r="M8" s="13">
        <f t="shared" si="4"/>
        <v>5.8545799415155653</v>
      </c>
      <c r="N8" s="13">
        <f t="shared" si="5"/>
        <v>0.24542005848443438</v>
      </c>
      <c r="O8" s="13">
        <f t="shared" si="6"/>
        <v>0.24542005848443438</v>
      </c>
      <c r="P8" s="13">
        <f t="shared" si="7"/>
        <v>6.0231005106503192E-2</v>
      </c>
      <c r="Q8" s="13">
        <f t="shared" si="8"/>
        <v>4.0232796472858094</v>
      </c>
      <c r="S8" s="10">
        <v>4</v>
      </c>
      <c r="T8" s="13">
        <f>U8*(4/SUM($U$5:$U$8))</f>
        <v>1.0677650736995761</v>
      </c>
      <c r="U8">
        <f>AVERAGEIF($B$5:$B$24,4,$G$5:$G$24)</f>
        <v>1.0720607301085805</v>
      </c>
    </row>
    <row r="9" spans="1:29" x14ac:dyDescent="0.3">
      <c r="A9" s="9" t="s">
        <v>23</v>
      </c>
      <c r="B9" s="10">
        <v>1</v>
      </c>
      <c r="C9" s="11">
        <v>5.4</v>
      </c>
      <c r="D9" s="12">
        <v>5</v>
      </c>
      <c r="E9" s="15">
        <f t="shared" si="9"/>
        <v>5.7499999999999991</v>
      </c>
      <c r="F9" s="15">
        <f t="shared" si="10"/>
        <v>5.7999999999999989</v>
      </c>
      <c r="G9" s="13">
        <f t="shared" si="11"/>
        <v>0.93103448275862088</v>
      </c>
      <c r="H9" s="14">
        <f t="shared" si="12"/>
        <v>-6.8965517241379111</v>
      </c>
      <c r="I9" s="13">
        <f t="shared" si="0"/>
        <v>0.9272314689932657</v>
      </c>
      <c r="J9" s="14">
        <f t="shared" si="1"/>
        <v>-7.2768531006734305</v>
      </c>
      <c r="K9" s="13">
        <f t="shared" si="2"/>
        <v>5.8237885367102651</v>
      </c>
      <c r="L9" s="13">
        <f t="shared" si="3"/>
        <v>5.6250907724673507</v>
      </c>
      <c r="M9" s="13">
        <f t="shared" si="4"/>
        <v>5.2157611801753649</v>
      </c>
      <c r="N9" s="13">
        <f t="shared" si="5"/>
        <v>0.18423881982463541</v>
      </c>
      <c r="O9" s="13">
        <f t="shared" si="6"/>
        <v>0.18423881982463541</v>
      </c>
      <c r="P9" s="13">
        <f t="shared" si="7"/>
        <v>3.3943942730374474E-2</v>
      </c>
      <c r="Q9" s="13">
        <f t="shared" si="8"/>
        <v>3.4118299967525072</v>
      </c>
    </row>
    <row r="10" spans="1:29" x14ac:dyDescent="0.3">
      <c r="A10" s="9"/>
      <c r="B10" s="10">
        <v>2</v>
      </c>
      <c r="C10" s="11">
        <v>5.7</v>
      </c>
      <c r="D10" s="12">
        <v>6</v>
      </c>
      <c r="E10" s="15">
        <f t="shared" si="9"/>
        <v>5.85</v>
      </c>
      <c r="F10" s="15">
        <f t="shared" si="10"/>
        <v>5.9625000000000004</v>
      </c>
      <c r="G10" s="13">
        <f t="shared" si="11"/>
        <v>0.95597484276729561</v>
      </c>
      <c r="H10" s="14">
        <f t="shared" si="12"/>
        <v>-4.4025157232704393</v>
      </c>
      <c r="I10" s="13">
        <f t="shared" si="0"/>
        <v>0.89447830017564289</v>
      </c>
      <c r="J10" s="14">
        <f t="shared" si="1"/>
        <v>-10.552169982435711</v>
      </c>
      <c r="K10" s="13">
        <f t="shared" si="2"/>
        <v>6.3724296038045063</v>
      </c>
      <c r="L10" s="13">
        <f t="shared" si="3"/>
        <v>5.7671590283518119</v>
      </c>
      <c r="M10" s="13">
        <f t="shared" si="4"/>
        <v>5.1585986045227408</v>
      </c>
      <c r="N10" s="13">
        <f t="shared" si="5"/>
        <v>0.54140139547725941</v>
      </c>
      <c r="O10" s="13">
        <f t="shared" si="6"/>
        <v>0.54140139547725941</v>
      </c>
      <c r="P10" s="13">
        <f t="shared" si="7"/>
        <v>0.29311547102472385</v>
      </c>
      <c r="Q10" s="13">
        <f t="shared" si="8"/>
        <v>9.4982700960922699</v>
      </c>
      <c r="S10" s="1" t="s">
        <v>24</v>
      </c>
      <c r="T10" s="1"/>
    </row>
    <row r="11" spans="1:29" x14ac:dyDescent="0.3">
      <c r="A11" s="9"/>
      <c r="B11" s="10">
        <v>3</v>
      </c>
      <c r="C11" s="11">
        <v>6.2</v>
      </c>
      <c r="D11" s="12">
        <v>7</v>
      </c>
      <c r="E11" s="15">
        <f t="shared" si="9"/>
        <v>6.0750000000000002</v>
      </c>
      <c r="F11" s="15">
        <f t="shared" si="10"/>
        <v>6.0749999999999993</v>
      </c>
      <c r="G11" s="13">
        <f t="shared" si="11"/>
        <v>1.020576131687243</v>
      </c>
      <c r="H11" s="14">
        <f t="shared" si="12"/>
        <v>2.0576131687243038</v>
      </c>
      <c r="I11" s="13">
        <f t="shared" si="0"/>
        <v>1.1105251571315151</v>
      </c>
      <c r="J11" s="14">
        <f t="shared" si="1"/>
        <v>11.052515713151511</v>
      </c>
      <c r="K11" s="13">
        <f t="shared" si="2"/>
        <v>5.5829442135418086</v>
      </c>
      <c r="L11" s="13">
        <f t="shared" si="3"/>
        <v>5.9092272842362732</v>
      </c>
      <c r="M11" s="13">
        <f t="shared" si="4"/>
        <v>6.562345558352324</v>
      </c>
      <c r="N11" s="13">
        <f t="shared" si="5"/>
        <v>-0.36234555835232385</v>
      </c>
      <c r="O11" s="13">
        <f t="shared" si="6"/>
        <v>0.36234555835232385</v>
      </c>
      <c r="P11" s="13">
        <f t="shared" si="7"/>
        <v>0.13129430365765732</v>
      </c>
      <c r="Q11" s="13">
        <f t="shared" si="8"/>
        <v>5.8442831992310298</v>
      </c>
      <c r="S11" s="7" t="s">
        <v>25</v>
      </c>
      <c r="T11" s="12">
        <f>INDEX(LINEST($K$5:$K$24,$D$5:$D$24),1,2)</f>
        <v>4.9147494930450462</v>
      </c>
    </row>
    <row r="12" spans="1:29" x14ac:dyDescent="0.3">
      <c r="A12" s="9"/>
      <c r="B12" s="10">
        <v>4</v>
      </c>
      <c r="C12" s="11">
        <v>7</v>
      </c>
      <c r="D12" s="12">
        <v>8</v>
      </c>
      <c r="E12" s="15">
        <f t="shared" si="9"/>
        <v>6.0749999999999993</v>
      </c>
      <c r="F12" s="15">
        <f t="shared" si="10"/>
        <v>6.0374999999999996</v>
      </c>
      <c r="G12" s="13">
        <f t="shared" si="11"/>
        <v>1.1594202898550725</v>
      </c>
      <c r="H12" s="14">
        <f t="shared" si="12"/>
        <v>15.94202898550725</v>
      </c>
      <c r="I12" s="13">
        <f t="shared" si="0"/>
        <v>1.0677650736995761</v>
      </c>
      <c r="J12" s="14">
        <f t="shared" si="1"/>
        <v>6.7765073699576073</v>
      </c>
      <c r="K12" s="13">
        <f t="shared" si="2"/>
        <v>6.5557491740636422</v>
      </c>
      <c r="L12" s="13">
        <f t="shared" si="3"/>
        <v>6.0512955401207336</v>
      </c>
      <c r="M12" s="13">
        <f t="shared" si="4"/>
        <v>6.4613620283749311</v>
      </c>
      <c r="N12" s="13">
        <f t="shared" si="5"/>
        <v>0.53863797162506888</v>
      </c>
      <c r="O12" s="13">
        <f t="shared" si="6"/>
        <v>0.53863797162506888</v>
      </c>
      <c r="P12" s="13">
        <f t="shared" si="7"/>
        <v>0.29013086447636849</v>
      </c>
      <c r="Q12" s="13">
        <f t="shared" si="8"/>
        <v>7.694828166072412</v>
      </c>
      <c r="S12" s="7" t="s">
        <v>26</v>
      </c>
      <c r="T12" s="13">
        <f>INDEX(LINEST($K$5:$K$24,$D$5:$D$24),1,1)</f>
        <v>0.14206825588446095</v>
      </c>
    </row>
    <row r="13" spans="1:29" x14ac:dyDescent="0.3">
      <c r="A13" s="9" t="s">
        <v>27</v>
      </c>
      <c r="B13" s="10">
        <v>1</v>
      </c>
      <c r="C13" s="11">
        <v>5.4</v>
      </c>
      <c r="D13" s="12">
        <v>9</v>
      </c>
      <c r="E13" s="15">
        <f t="shared" si="9"/>
        <v>6</v>
      </c>
      <c r="F13" s="15">
        <f t="shared" si="10"/>
        <v>6.1749999999999998</v>
      </c>
      <c r="G13" s="13">
        <f t="shared" si="11"/>
        <v>0.87449392712550611</v>
      </c>
      <c r="H13" s="14">
        <f t="shared" si="12"/>
        <v>-12.550607287449388</v>
      </c>
      <c r="I13" s="13">
        <f t="shared" si="0"/>
        <v>0.9272314689932657</v>
      </c>
      <c r="J13" s="14">
        <f t="shared" si="1"/>
        <v>-7.2768531006734305</v>
      </c>
      <c r="K13" s="13">
        <f t="shared" si="2"/>
        <v>5.8237885367102651</v>
      </c>
      <c r="L13" s="13">
        <f t="shared" si="3"/>
        <v>6.1933637960051948</v>
      </c>
      <c r="M13" s="13">
        <f t="shared" si="4"/>
        <v>5.7426818105796054</v>
      </c>
      <c r="N13" s="13">
        <f t="shared" si="5"/>
        <v>-0.34268181057960501</v>
      </c>
      <c r="O13" s="13">
        <f t="shared" si="6"/>
        <v>0.34268181057960501</v>
      </c>
      <c r="P13" s="13">
        <f t="shared" si="7"/>
        <v>0.11743082330211628</v>
      </c>
      <c r="Q13" s="13">
        <f t="shared" si="8"/>
        <v>6.3459594551778702</v>
      </c>
      <c r="S13" s="7" t="s">
        <v>28</v>
      </c>
      <c r="T13" s="13" t="str">
        <f>"T_t = "&amp;TEXT(T11,"0.0000")&amp;" + "&amp;TEXT(T12,"0.0000")&amp;" * t"</f>
        <v>T_t = 4.9147 + 0.1421 * t</v>
      </c>
    </row>
    <row r="14" spans="1:29" x14ac:dyDescent="0.3">
      <c r="A14" s="9"/>
      <c r="B14" s="10">
        <v>2</v>
      </c>
      <c r="C14" s="11">
        <v>5.4</v>
      </c>
      <c r="D14" s="12">
        <v>10</v>
      </c>
      <c r="E14" s="15">
        <f t="shared" si="9"/>
        <v>6.35</v>
      </c>
      <c r="F14" s="15">
        <f t="shared" si="10"/>
        <v>6.2749999999999995</v>
      </c>
      <c r="G14" s="13">
        <f t="shared" si="11"/>
        <v>0.86055776892430291</v>
      </c>
      <c r="H14" s="14">
        <f t="shared" si="12"/>
        <v>-13.944223107569709</v>
      </c>
      <c r="I14" s="13">
        <f t="shared" si="0"/>
        <v>0.89447830017564289</v>
      </c>
      <c r="J14" s="14">
        <f t="shared" si="1"/>
        <v>-10.552169982435711</v>
      </c>
      <c r="K14" s="13">
        <f t="shared" si="2"/>
        <v>6.0370385720253221</v>
      </c>
      <c r="L14" s="13">
        <f t="shared" si="3"/>
        <v>6.3354320518896561</v>
      </c>
      <c r="M14" s="13">
        <f t="shared" si="4"/>
        <v>5.6669064926525445</v>
      </c>
      <c r="N14" s="13">
        <f t="shared" si="5"/>
        <v>-0.26690649265254418</v>
      </c>
      <c r="O14" s="13">
        <f t="shared" si="6"/>
        <v>0.26690649265254418</v>
      </c>
      <c r="P14" s="13">
        <f t="shared" si="7"/>
        <v>7.1239075820082626E-2</v>
      </c>
      <c r="Q14" s="13">
        <f t="shared" si="8"/>
        <v>4.9427128268989655</v>
      </c>
      <c r="T14" s="16"/>
    </row>
    <row r="15" spans="1:29" x14ac:dyDescent="0.3">
      <c r="A15" s="9"/>
      <c r="B15" s="10">
        <v>3</v>
      </c>
      <c r="C15" s="11">
        <v>7.6</v>
      </c>
      <c r="D15" s="12">
        <v>11</v>
      </c>
      <c r="E15" s="15">
        <f t="shared" si="9"/>
        <v>6.1999999999999993</v>
      </c>
      <c r="F15" s="15">
        <f t="shared" si="10"/>
        <v>6.2749999999999995</v>
      </c>
      <c r="G15" s="13">
        <f t="shared" si="11"/>
        <v>1.2111553784860558</v>
      </c>
      <c r="H15" s="14">
        <f t="shared" si="12"/>
        <v>21.11553784860558</v>
      </c>
      <c r="I15" s="13">
        <f t="shared" si="0"/>
        <v>1.1105251571315151</v>
      </c>
      <c r="J15" s="14">
        <f t="shared" si="1"/>
        <v>11.052515713151511</v>
      </c>
      <c r="K15" s="13">
        <f t="shared" si="2"/>
        <v>6.8436090359544748</v>
      </c>
      <c r="L15" s="13">
        <f t="shared" si="3"/>
        <v>6.4775003077741165</v>
      </c>
      <c r="M15" s="13">
        <f t="shared" si="4"/>
        <v>7.1934270471102879</v>
      </c>
      <c r="N15" s="13">
        <f t="shared" si="5"/>
        <v>0.40657295288971174</v>
      </c>
      <c r="O15" s="13">
        <f t="shared" si="6"/>
        <v>0.40657295288971174</v>
      </c>
      <c r="P15" s="13">
        <f t="shared" si="7"/>
        <v>0.16530156602145976</v>
      </c>
      <c r="Q15" s="13">
        <f t="shared" si="8"/>
        <v>5.3496441169698912</v>
      </c>
      <c r="S15" s="1" t="s">
        <v>29</v>
      </c>
      <c r="T15" s="1"/>
    </row>
    <row r="16" spans="1:29" x14ac:dyDescent="0.3">
      <c r="A16" s="9"/>
      <c r="B16" s="10">
        <v>4</v>
      </c>
      <c r="C16" s="11">
        <v>6.4</v>
      </c>
      <c r="D16" s="12">
        <v>12</v>
      </c>
      <c r="E16" s="15">
        <f t="shared" si="9"/>
        <v>6.35</v>
      </c>
      <c r="F16" s="15">
        <f t="shared" si="10"/>
        <v>6.4375</v>
      </c>
      <c r="G16" s="13">
        <f t="shared" si="11"/>
        <v>0.99417475728155347</v>
      </c>
      <c r="H16" s="14">
        <f t="shared" si="12"/>
        <v>-0.58252427184465327</v>
      </c>
      <c r="I16" s="13">
        <f t="shared" si="0"/>
        <v>1.0677650736995761</v>
      </c>
      <c r="J16" s="14">
        <f t="shared" si="1"/>
        <v>6.7765073699576073</v>
      </c>
      <c r="K16" s="13">
        <f t="shared" si="2"/>
        <v>5.9938278162867586</v>
      </c>
      <c r="L16" s="13">
        <f t="shared" si="3"/>
        <v>6.6195685636585777</v>
      </c>
      <c r="M16" s="13">
        <f t="shared" si="4"/>
        <v>7.0681441152342979</v>
      </c>
      <c r="N16" s="13">
        <f t="shared" si="5"/>
        <v>-0.66814411523429751</v>
      </c>
      <c r="O16" s="13">
        <f t="shared" si="6"/>
        <v>0.66814411523429751</v>
      </c>
      <c r="P16" s="13">
        <f t="shared" si="7"/>
        <v>0.44641655872222225</v>
      </c>
      <c r="Q16" s="13">
        <f t="shared" si="8"/>
        <v>10.439751800535898</v>
      </c>
      <c r="S16" s="7" t="s">
        <v>30</v>
      </c>
      <c r="T16" s="13">
        <f>AVERAGE(O5:O24)</f>
        <v>0.5264689783980796</v>
      </c>
    </row>
    <row r="17" spans="1:24" x14ac:dyDescent="0.3">
      <c r="A17" s="9" t="s">
        <v>31</v>
      </c>
      <c r="B17" s="10">
        <v>1</v>
      </c>
      <c r="C17" s="11">
        <v>6</v>
      </c>
      <c r="D17" s="12">
        <v>13</v>
      </c>
      <c r="E17" s="15">
        <f t="shared" si="9"/>
        <v>6.5250000000000004</v>
      </c>
      <c r="F17" s="15">
        <f t="shared" si="10"/>
        <v>6.625</v>
      </c>
      <c r="G17" s="13">
        <f t="shared" si="11"/>
        <v>0.90566037735849059</v>
      </c>
      <c r="H17" s="14">
        <f t="shared" si="12"/>
        <v>-9.4339622641509422</v>
      </c>
      <c r="I17" s="13">
        <f t="shared" si="0"/>
        <v>0.9272314689932657</v>
      </c>
      <c r="J17" s="14">
        <f t="shared" si="1"/>
        <v>-7.2768531006734305</v>
      </c>
      <c r="K17" s="13">
        <f t="shared" si="2"/>
        <v>6.4708761519002937</v>
      </c>
      <c r="L17" s="13">
        <f t="shared" si="3"/>
        <v>6.761636819543039</v>
      </c>
      <c r="M17" s="13">
        <f t="shared" si="4"/>
        <v>6.2696024409838449</v>
      </c>
      <c r="N17" s="13">
        <f t="shared" si="5"/>
        <v>-0.26960244098384489</v>
      </c>
      <c r="O17" s="13">
        <f t="shared" si="6"/>
        <v>0.26960244098384489</v>
      </c>
      <c r="P17" s="13">
        <f t="shared" si="7"/>
        <v>7.2685476184447567E-2</v>
      </c>
      <c r="Q17" s="13">
        <f t="shared" si="8"/>
        <v>4.4933740163974143</v>
      </c>
      <c r="S17" s="7" t="s">
        <v>32</v>
      </c>
      <c r="T17" s="13">
        <f>AVERAGE(P5:P24)</f>
        <v>0.41496620677337354</v>
      </c>
    </row>
    <row r="18" spans="1:24" x14ac:dyDescent="0.3">
      <c r="A18" s="9"/>
      <c r="B18" s="10">
        <v>2</v>
      </c>
      <c r="C18" s="11">
        <v>6.1</v>
      </c>
      <c r="D18" s="12">
        <v>14</v>
      </c>
      <c r="E18" s="15">
        <f t="shared" si="9"/>
        <v>6.7249999999999996</v>
      </c>
      <c r="F18" s="15">
        <f t="shared" si="10"/>
        <v>6.9499999999999993</v>
      </c>
      <c r="G18" s="13">
        <f t="shared" si="11"/>
        <v>0.87769784172661869</v>
      </c>
      <c r="H18" s="14">
        <f t="shared" si="12"/>
        <v>-12.230215827338132</v>
      </c>
      <c r="I18" s="13">
        <f t="shared" si="0"/>
        <v>0.89447830017564289</v>
      </c>
      <c r="J18" s="14">
        <f t="shared" si="1"/>
        <v>-10.552169982435711</v>
      </c>
      <c r="K18" s="13">
        <f t="shared" si="2"/>
        <v>6.8196176461767513</v>
      </c>
      <c r="L18" s="13">
        <f t="shared" si="3"/>
        <v>6.9037050754274993</v>
      </c>
      <c r="M18" s="13">
        <f t="shared" si="4"/>
        <v>6.1752143807823483</v>
      </c>
      <c r="N18" s="13">
        <f t="shared" si="5"/>
        <v>-7.5214380782348655E-2</v>
      </c>
      <c r="O18" s="13">
        <f t="shared" si="6"/>
        <v>7.5214380782348655E-2</v>
      </c>
      <c r="P18" s="13">
        <f t="shared" si="7"/>
        <v>5.6572030764721389E-3</v>
      </c>
      <c r="Q18" s="13">
        <f t="shared" si="8"/>
        <v>1.2330226357762075</v>
      </c>
      <c r="S18" s="7" t="s">
        <v>33</v>
      </c>
      <c r="T18" s="13">
        <f>AVERAGE(Q5:Q24)</f>
        <v>7.9045836779489189</v>
      </c>
    </row>
    <row r="19" spans="1:24" x14ac:dyDescent="0.3">
      <c r="A19" s="9"/>
      <c r="B19" s="10">
        <v>3</v>
      </c>
      <c r="C19" s="11">
        <v>8.4</v>
      </c>
      <c r="D19" s="12">
        <v>15</v>
      </c>
      <c r="E19" s="15">
        <f t="shared" si="9"/>
        <v>7.1749999999999998</v>
      </c>
      <c r="F19" s="15">
        <f t="shared" si="10"/>
        <v>7.4249999999999998</v>
      </c>
      <c r="G19" s="12">
        <f t="shared" si="11"/>
        <v>1.1313131313131315</v>
      </c>
      <c r="H19" s="12">
        <f t="shared" si="12"/>
        <v>13.131313131313149</v>
      </c>
      <c r="I19" s="13">
        <f t="shared" si="0"/>
        <v>1.1105251571315151</v>
      </c>
      <c r="J19" s="14">
        <f t="shared" si="1"/>
        <v>11.052515713151511</v>
      </c>
      <c r="K19" s="13">
        <f t="shared" si="2"/>
        <v>7.563988934475999</v>
      </c>
      <c r="L19" s="13">
        <f t="shared" si="3"/>
        <v>7.0457733313119606</v>
      </c>
      <c r="M19" s="13">
        <f t="shared" si="4"/>
        <v>7.8245085358682536</v>
      </c>
      <c r="N19" s="13">
        <f t="shared" si="5"/>
        <v>0.57549146413174679</v>
      </c>
      <c r="O19" s="13">
        <f t="shared" si="6"/>
        <v>0.57549146413174679</v>
      </c>
      <c r="P19" s="13">
        <f t="shared" si="7"/>
        <v>0.33119042528850162</v>
      </c>
      <c r="Q19" s="13">
        <f t="shared" si="8"/>
        <v>6.8510888587112708</v>
      </c>
    </row>
    <row r="20" spans="1:24" x14ac:dyDescent="0.3">
      <c r="A20" s="9"/>
      <c r="B20" s="10">
        <v>4</v>
      </c>
      <c r="C20" s="11">
        <v>8.1999999999999993</v>
      </c>
      <c r="D20" s="12">
        <v>16</v>
      </c>
      <c r="E20" s="15">
        <f t="shared" si="9"/>
        <v>7.6749999999999998</v>
      </c>
      <c r="F20" s="12">
        <f t="shared" si="10"/>
        <v>7.8625000000000007</v>
      </c>
      <c r="G20" s="12">
        <f t="shared" si="11"/>
        <v>1.0429252782193956</v>
      </c>
      <c r="H20" s="12">
        <f t="shared" si="12"/>
        <v>4.2925278219395624</v>
      </c>
      <c r="I20" s="13">
        <f t="shared" si="0"/>
        <v>1.0677650736995761</v>
      </c>
      <c r="J20" s="14">
        <f t="shared" si="1"/>
        <v>6.7765073699576073</v>
      </c>
      <c r="K20" s="13">
        <f t="shared" si="2"/>
        <v>7.6795918896174085</v>
      </c>
      <c r="L20" s="13">
        <f t="shared" si="3"/>
        <v>7.1878415871964219</v>
      </c>
      <c r="M20" s="13">
        <f t="shared" si="4"/>
        <v>7.6749262020936655</v>
      </c>
      <c r="N20" s="13">
        <f t="shared" si="5"/>
        <v>0.52507379790633379</v>
      </c>
      <c r="O20" s="13">
        <f t="shared" si="6"/>
        <v>0.52507379790633379</v>
      </c>
      <c r="P20" s="13">
        <f t="shared" si="7"/>
        <v>0.27570249324778145</v>
      </c>
      <c r="Q20" s="13">
        <f t="shared" si="8"/>
        <v>6.4033389988577296</v>
      </c>
    </row>
    <row r="21" spans="1:24" x14ac:dyDescent="0.3">
      <c r="A21" s="9" t="s">
        <v>34</v>
      </c>
      <c r="B21" s="10">
        <v>1</v>
      </c>
      <c r="C21" s="10">
        <v>8</v>
      </c>
      <c r="D21" s="12">
        <v>17</v>
      </c>
      <c r="E21" s="12">
        <f t="shared" si="9"/>
        <v>8.0500000000000007</v>
      </c>
      <c r="F21" s="12">
        <f t="shared" si="10"/>
        <v>7.9</v>
      </c>
      <c r="G21" s="12">
        <f t="shared" si="11"/>
        <v>1.0126582278481011</v>
      </c>
      <c r="H21" s="12">
        <f t="shared" si="12"/>
        <v>1.2658227848101111</v>
      </c>
      <c r="I21" s="13">
        <f t="shared" si="0"/>
        <v>0.9272314689932657</v>
      </c>
      <c r="J21" s="12">
        <f t="shared" si="1"/>
        <v>-7.2768531006734305</v>
      </c>
      <c r="K21" s="12">
        <f t="shared" si="2"/>
        <v>8.6278348692003917</v>
      </c>
      <c r="L21" s="13">
        <f t="shared" si="3"/>
        <v>7.3299098430808822</v>
      </c>
      <c r="M21" s="13">
        <f t="shared" si="4"/>
        <v>6.7965230713880844</v>
      </c>
      <c r="N21" s="13">
        <f t="shared" si="5"/>
        <v>1.2034769286119156</v>
      </c>
      <c r="O21" s="13">
        <f t="shared" si="6"/>
        <v>1.2034769286119156</v>
      </c>
      <c r="P21" s="13">
        <f t="shared" si="7"/>
        <v>1.4483567177011698</v>
      </c>
      <c r="Q21" s="13">
        <f t="shared" si="8"/>
        <v>15.043461607648945</v>
      </c>
      <c r="S21" s="4" t="s">
        <v>35</v>
      </c>
    </row>
    <row r="22" spans="1:24" x14ac:dyDescent="0.3">
      <c r="A22" s="9"/>
      <c r="B22" s="10">
        <v>2</v>
      </c>
      <c r="C22" s="10">
        <v>7.6</v>
      </c>
      <c r="D22" s="12">
        <v>18</v>
      </c>
      <c r="E22" s="12">
        <f t="shared" si="9"/>
        <v>7.7499999999999991</v>
      </c>
      <c r="F22" s="12"/>
      <c r="G22" s="12"/>
      <c r="H22" s="12"/>
      <c r="I22" s="13">
        <f t="shared" si="0"/>
        <v>0.89447830017564289</v>
      </c>
      <c r="J22" s="12">
        <f t="shared" si="1"/>
        <v>-10.552169982435711</v>
      </c>
      <c r="K22" s="12">
        <f t="shared" si="2"/>
        <v>8.4965728050726739</v>
      </c>
      <c r="L22" s="13">
        <f t="shared" si="3"/>
        <v>7.4719780989653435</v>
      </c>
      <c r="M22" s="13">
        <f t="shared" si="4"/>
        <v>6.6835222689121521</v>
      </c>
      <c r="N22" s="13">
        <f t="shared" si="5"/>
        <v>0.91647773108784758</v>
      </c>
      <c r="O22" s="13">
        <f t="shared" si="6"/>
        <v>0.91647773108784758</v>
      </c>
      <c r="P22" s="13">
        <f t="shared" si="7"/>
        <v>0.83993143157992911</v>
      </c>
      <c r="Q22" s="13">
        <f t="shared" si="8"/>
        <v>12.058917514313784</v>
      </c>
      <c r="S22" t="s">
        <v>37</v>
      </c>
    </row>
    <row r="23" spans="1:24" ht="15" thickBot="1" x14ac:dyDescent="0.35">
      <c r="A23" s="9"/>
      <c r="B23" s="10">
        <v>3</v>
      </c>
      <c r="C23" s="10">
        <v>7.2</v>
      </c>
      <c r="D23" s="12">
        <v>19</v>
      </c>
      <c r="E23" s="12"/>
      <c r="F23" s="10"/>
      <c r="G23" s="10"/>
      <c r="H23" s="10"/>
      <c r="I23" s="13">
        <f t="shared" si="0"/>
        <v>1.1105251571315151</v>
      </c>
      <c r="J23" s="12">
        <f t="shared" si="1"/>
        <v>11.052515713151511</v>
      </c>
      <c r="K23" s="12">
        <f t="shared" si="2"/>
        <v>6.4834190866937131</v>
      </c>
      <c r="L23" s="13">
        <f t="shared" si="3"/>
        <v>7.6140463548498047</v>
      </c>
      <c r="M23" s="13">
        <f t="shared" si="4"/>
        <v>8.4555900246262201</v>
      </c>
      <c r="N23" s="13">
        <f t="shared" si="5"/>
        <v>-1.2555900246262199</v>
      </c>
      <c r="O23" s="13">
        <f t="shared" si="6"/>
        <v>1.2555900246262199</v>
      </c>
      <c r="P23" s="13">
        <f t="shared" si="7"/>
        <v>1.5765063099408716</v>
      </c>
      <c r="Q23" s="13">
        <f t="shared" si="8"/>
        <v>17.438750342030833</v>
      </c>
    </row>
    <row r="24" spans="1:24" x14ac:dyDescent="0.3">
      <c r="A24" s="9"/>
      <c r="B24" s="10">
        <v>4</v>
      </c>
      <c r="C24" s="10">
        <v>6.9</v>
      </c>
      <c r="D24" s="12">
        <v>20</v>
      </c>
      <c r="E24" s="10"/>
      <c r="F24" s="10"/>
      <c r="G24" s="10"/>
      <c r="H24" s="10"/>
      <c r="I24" s="13">
        <f t="shared" si="0"/>
        <v>1.0677650736995761</v>
      </c>
      <c r="J24" s="12">
        <f t="shared" si="1"/>
        <v>6.7765073699576073</v>
      </c>
      <c r="K24" s="12">
        <f t="shared" si="2"/>
        <v>6.4620956144341619</v>
      </c>
      <c r="L24" s="13">
        <f t="shared" si="3"/>
        <v>7.7561146107342651</v>
      </c>
      <c r="M24" s="13">
        <f t="shared" si="4"/>
        <v>8.2817082889530322</v>
      </c>
      <c r="N24" s="13">
        <f t="shared" si="5"/>
        <v>-1.3817082889530319</v>
      </c>
      <c r="O24" s="13">
        <f t="shared" si="6"/>
        <v>1.3817082889530319</v>
      </c>
      <c r="P24" s="13">
        <f t="shared" si="7"/>
        <v>1.9091177957615151</v>
      </c>
      <c r="Q24" s="13">
        <f t="shared" si="8"/>
        <v>20.024757810913503</v>
      </c>
      <c r="S24" s="20" t="s">
        <v>38</v>
      </c>
      <c r="T24" s="20"/>
    </row>
    <row r="25" spans="1:24" x14ac:dyDescent="0.3">
      <c r="A25" s="9" t="s">
        <v>36</v>
      </c>
      <c r="B25" s="10">
        <v>1</v>
      </c>
      <c r="C25" s="10"/>
      <c r="D25" s="12">
        <v>21</v>
      </c>
      <c r="E25" s="10"/>
      <c r="F25" s="10"/>
      <c r="G25" s="10"/>
      <c r="H25" s="10"/>
      <c r="I25" s="12">
        <f t="shared" si="0"/>
        <v>0.9272314689932657</v>
      </c>
      <c r="J25" s="12">
        <f t="shared" si="1"/>
        <v>-7.2768531006734305</v>
      </c>
      <c r="K25" s="10"/>
      <c r="L25" s="12">
        <f t="shared" si="3"/>
        <v>7.8981828666187264</v>
      </c>
      <c r="M25" s="12">
        <f t="shared" si="4"/>
        <v>7.323443701792324</v>
      </c>
      <c r="N25" s="10"/>
      <c r="O25" s="10"/>
      <c r="P25" s="10"/>
      <c r="Q25" s="10"/>
      <c r="S25" s="17" t="s">
        <v>39</v>
      </c>
      <c r="T25" s="21">
        <v>0.7891934518004039</v>
      </c>
    </row>
    <row r="26" spans="1:24" x14ac:dyDescent="0.3">
      <c r="A26" s="9"/>
      <c r="B26" s="10">
        <v>2</v>
      </c>
      <c r="C26" s="10"/>
      <c r="D26" s="12">
        <v>22</v>
      </c>
      <c r="E26" s="10"/>
      <c r="F26" s="10"/>
      <c r="G26" s="10"/>
      <c r="H26" s="10"/>
      <c r="I26" s="12">
        <f t="shared" si="0"/>
        <v>0.89447830017564289</v>
      </c>
      <c r="J26" s="12">
        <f t="shared" si="1"/>
        <v>-10.552169982435711</v>
      </c>
      <c r="K26" s="10"/>
      <c r="L26" s="12">
        <f t="shared" si="3"/>
        <v>8.0402511225031876</v>
      </c>
      <c r="M26" s="12">
        <f t="shared" si="4"/>
        <v>7.1918301570419558</v>
      </c>
      <c r="N26" s="10"/>
      <c r="O26" s="10"/>
      <c r="P26" s="10"/>
      <c r="Q26" s="10"/>
      <c r="S26" s="17" t="s">
        <v>40</v>
      </c>
      <c r="T26" s="21">
        <v>0.62282630436463648</v>
      </c>
    </row>
    <row r="27" spans="1:24" x14ac:dyDescent="0.3">
      <c r="A27" s="9"/>
      <c r="B27" s="10">
        <v>3</v>
      </c>
      <c r="C27" s="10"/>
      <c r="D27" s="12">
        <v>23</v>
      </c>
      <c r="E27" s="10"/>
      <c r="F27" s="10"/>
      <c r="G27" s="10"/>
      <c r="H27" s="10"/>
      <c r="I27" s="12">
        <f t="shared" si="0"/>
        <v>1.1105251571315151</v>
      </c>
      <c r="J27" s="12">
        <f t="shared" si="1"/>
        <v>11.052515713151511</v>
      </c>
      <c r="K27" s="10"/>
      <c r="L27" s="12">
        <f t="shared" si="3"/>
        <v>8.182319378387648</v>
      </c>
      <c r="M27" s="12">
        <f t="shared" si="4"/>
        <v>9.086671513384184</v>
      </c>
      <c r="N27" s="10"/>
      <c r="O27" s="10"/>
      <c r="P27" s="10"/>
      <c r="Q27" s="10"/>
      <c r="S27" s="17" t="s">
        <v>41</v>
      </c>
      <c r="T27" s="21">
        <v>0.60187221016267189</v>
      </c>
    </row>
    <row r="28" spans="1:24" x14ac:dyDescent="0.3">
      <c r="A28" s="9"/>
      <c r="B28" s="10">
        <v>4</v>
      </c>
      <c r="C28" s="10"/>
      <c r="D28" s="12">
        <v>24</v>
      </c>
      <c r="E28" s="10"/>
      <c r="F28" s="10"/>
      <c r="G28" s="10"/>
      <c r="H28" s="10"/>
      <c r="I28" s="12">
        <f t="shared" si="0"/>
        <v>1.0677650736995761</v>
      </c>
      <c r="J28" s="12">
        <f t="shared" si="1"/>
        <v>6.7765073699576073</v>
      </c>
      <c r="K28" s="10"/>
      <c r="L28" s="12">
        <f t="shared" si="3"/>
        <v>8.3243876342721101</v>
      </c>
      <c r="M28" s="12">
        <f t="shared" si="4"/>
        <v>8.888490375812399</v>
      </c>
      <c r="N28" s="10"/>
      <c r="O28" s="10"/>
      <c r="P28" s="10"/>
      <c r="Q28" s="10"/>
      <c r="S28" s="17" t="s">
        <v>42</v>
      </c>
      <c r="T28" s="21">
        <v>0.67198386351756423</v>
      </c>
    </row>
    <row r="29" spans="1:24" ht="15" thickBot="1" x14ac:dyDescent="0.35">
      <c r="S29" s="18" t="s">
        <v>43</v>
      </c>
      <c r="T29" s="22">
        <v>20</v>
      </c>
    </row>
    <row r="31" spans="1:24" ht="15" thickBot="1" x14ac:dyDescent="0.35">
      <c r="S31" t="s">
        <v>44</v>
      </c>
    </row>
    <row r="32" spans="1:24" x14ac:dyDescent="0.3">
      <c r="S32" s="19"/>
      <c r="T32" s="19" t="s">
        <v>48</v>
      </c>
      <c r="U32" s="19" t="s">
        <v>49</v>
      </c>
      <c r="V32" s="19" t="s">
        <v>50</v>
      </c>
      <c r="W32" s="19" t="s">
        <v>51</v>
      </c>
      <c r="X32" s="19" t="s">
        <v>52</v>
      </c>
    </row>
    <row r="33" spans="19:27" x14ac:dyDescent="0.3">
      <c r="S33" s="17" t="s">
        <v>45</v>
      </c>
      <c r="T33" s="17">
        <v>1</v>
      </c>
      <c r="U33" s="17">
        <v>13.421953904485026</v>
      </c>
      <c r="V33" s="17">
        <v>13.421953904485026</v>
      </c>
      <c r="W33" s="17">
        <v>29.723370447873652</v>
      </c>
      <c r="X33" s="17">
        <v>3.5286420571607211E-5</v>
      </c>
    </row>
    <row r="34" spans="19:27" x14ac:dyDescent="0.3">
      <c r="S34" s="17" t="s">
        <v>46</v>
      </c>
      <c r="T34" s="17">
        <v>18</v>
      </c>
      <c r="U34" s="17">
        <v>8.1281216309038626</v>
      </c>
      <c r="V34" s="17">
        <v>0.45156231282799236</v>
      </c>
      <c r="W34" s="17"/>
      <c r="X34" s="17"/>
    </row>
    <row r="35" spans="19:27" ht="15" thickBot="1" x14ac:dyDescent="0.35">
      <c r="S35" s="18" t="s">
        <v>47</v>
      </c>
      <c r="T35" s="18">
        <v>19</v>
      </c>
      <c r="U35" s="18">
        <v>21.550075535388888</v>
      </c>
      <c r="V35" s="18"/>
      <c r="W35" s="18"/>
      <c r="X35" s="18"/>
    </row>
    <row r="36" spans="19:27" ht="15" thickBot="1" x14ac:dyDescent="0.35"/>
    <row r="37" spans="19:27" x14ac:dyDescent="0.3">
      <c r="S37" s="19"/>
      <c r="T37" s="19" t="s">
        <v>53</v>
      </c>
      <c r="U37" s="19" t="s">
        <v>42</v>
      </c>
      <c r="V37" s="19" t="s">
        <v>54</v>
      </c>
      <c r="W37" s="19" t="s">
        <v>55</v>
      </c>
      <c r="X37" s="19" t="s">
        <v>56</v>
      </c>
      <c r="Y37" s="19" t="s">
        <v>57</v>
      </c>
      <c r="Z37" s="19" t="s">
        <v>58</v>
      </c>
      <c r="AA37" s="19" t="s">
        <v>59</v>
      </c>
    </row>
    <row r="38" spans="19:27" x14ac:dyDescent="0.3">
      <c r="S38" s="17" t="s">
        <v>25</v>
      </c>
      <c r="T38" s="23">
        <v>2.6645352591003757E-15</v>
      </c>
      <c r="U38" s="21">
        <v>1.1846536725718213</v>
      </c>
      <c r="V38" s="21">
        <v>2.2492103141974047E-15</v>
      </c>
      <c r="W38" s="21">
        <v>1</v>
      </c>
      <c r="X38" s="21">
        <v>-2.4888650107586265</v>
      </c>
      <c r="Y38" s="21">
        <v>2.4888650107586319</v>
      </c>
      <c r="Z38" s="21">
        <v>-2.4888650107586265</v>
      </c>
      <c r="AA38" s="21">
        <v>2.4888650107586319</v>
      </c>
    </row>
    <row r="39" spans="19:27" ht="15" thickBot="1" x14ac:dyDescent="0.35">
      <c r="S39" s="18" t="s">
        <v>60</v>
      </c>
      <c r="T39" s="24">
        <v>0.99999999999999967</v>
      </c>
      <c r="U39" s="22">
        <v>0.18342180922326262</v>
      </c>
      <c r="V39" s="22">
        <v>5.4519143837622437</v>
      </c>
      <c r="W39" s="22">
        <v>3.5286420571607279E-5</v>
      </c>
      <c r="X39" s="22">
        <v>0.61464507834196036</v>
      </c>
      <c r="Y39" s="22">
        <v>1.385354921658039</v>
      </c>
      <c r="Z39" s="22">
        <v>0.61464507834196036</v>
      </c>
      <c r="AA39" s="22">
        <v>1.385354921658039</v>
      </c>
    </row>
  </sheetData>
  <mergeCells count="5">
    <mergeCell ref="A1:AC1"/>
    <mergeCell ref="B2:D2"/>
    <mergeCell ref="S3:T3"/>
    <mergeCell ref="S10:T10"/>
    <mergeCell ref="S15:T1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Mattheus Marcus B. Contreras</dc:creator>
  <dc:description/>
  <cp:lastModifiedBy>Prince Jason  R. Capendit</cp:lastModifiedBy>
  <cp:revision>0</cp:revision>
  <dcterms:created xsi:type="dcterms:W3CDTF">2026-04-29T09:34:16Z</dcterms:created>
  <dcterms:modified xsi:type="dcterms:W3CDTF">2026-04-30T11:22:53Z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0x0101004D7863E46FCF3D4790989BB31F8E05F7</vt:lpwstr>
  </property>
  <property fmtid="{D5CDD505-2E9C-101B-9397-08002B2CF9AE}" pid="3" name="MediaServiceImageTags">
    <vt:lpwstr/>
  </property>
</Properties>
</file>