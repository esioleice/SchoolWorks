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ince\Downloads\"/>
    </mc:Choice>
  </mc:AlternateContent>
  <xr:revisionPtr revIDLastSave="0" documentId="13_ncr:1_{71848507-61A9-4334-B177-EB4C9B723CD7}" xr6:coauthVersionLast="47" xr6:coauthVersionMax="47" xr10:uidLastSave="{00000000-0000-0000-0000-000000000000}"/>
  <bookViews>
    <workbookView xWindow="-108" yWindow="-108" windowWidth="23256" windowHeight="12456" activeTab="8" xr2:uid="{211DE6D5-F9C1-427B-8978-8E7CD1C38F9E}"/>
  </bookViews>
  <sheets>
    <sheet name="desc" sheetId="2" r:id="rId1"/>
    <sheet name="hist" sheetId="4" r:id="rId2"/>
    <sheet name="anova" sheetId="5" r:id="rId3"/>
    <sheet name="paired t" sheetId="6" r:id="rId4"/>
    <sheet name="f-test" sheetId="7" r:id="rId5"/>
    <sheet name="equal t" sheetId="8" r:id="rId6"/>
    <sheet name="unequal t" sheetId="9" r:id="rId7"/>
    <sheet name="correlation" sheetId="11" r:id="rId8"/>
    <sheet name="regression" sheetId="12" r:id="rId9"/>
    <sheet name="dataset" sheetId="1" r:id="rId10"/>
  </sheets>
  <definedNames>
    <definedName name="_xlnm._FilterDatabase" localSheetId="9" hidden="1">dataset!$A$1:$G$31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<sst xmlns="http://schemas.openxmlformats.org/spreadsheetml/2006/main" count="238" uniqueCount="105">
  <si>
    <t>ID</t>
  </si>
  <si>
    <t>Fertilizer</t>
  </si>
  <si>
    <t>Yield_kgs</t>
  </si>
  <si>
    <t>PreScore</t>
  </si>
  <si>
    <t>PostScore</t>
  </si>
  <si>
    <t>Height_cm</t>
  </si>
  <si>
    <t>Weight_kg</t>
  </si>
  <si>
    <t>A</t>
  </si>
  <si>
    <t>B</t>
  </si>
  <si>
    <t>C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</si>
  <si>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</si>
  <si>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</si>
  <si>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</si>
  <si>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</si>
  <si>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</si>
  <si>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</si>
  <si>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</si>
  <si>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</si>
  <si>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</si>
  <si>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</si>
  <si>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</si>
  <si>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</si>
  <si>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</si>
  <si>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Measures</t>
  </si>
  <si>
    <t>Values</t>
  </si>
  <si>
    <t>Interpretation</t>
  </si>
  <si>
    <t>Platykurtic</t>
  </si>
  <si>
    <t>Normal</t>
  </si>
  <si>
    <t>Descriptive Statistics of Yield_kgs</t>
  </si>
  <si>
    <t>Bin</t>
  </si>
  <si>
    <t>More</t>
  </si>
  <si>
    <t>Frequency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</si>
  <si>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</si>
  <si>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</si>
  <si>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</si>
  <si>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</si>
  <si>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</si>
  <si>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</si>
  <si>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</si>
  <si>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</si>
  <si>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</si>
  <si>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</si>
  <si>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</si>
  <si>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</si>
  <si>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</si>
  <si>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</si>
  <si>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</si>
  <si>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Single Factor for Yield_kg</t>
  </si>
  <si>
    <t>Null Hypothesis</t>
  </si>
  <si>
    <t>Alternative Hypothesis</t>
  </si>
  <si>
    <t>There is no signifcant difference between the means of A, B and C groups.</t>
  </si>
  <si>
    <t>At least one group has a significant difference  in their means</t>
  </si>
  <si>
    <t xml:space="preserve">Interpretation </t>
  </si>
  <si>
    <t>Remarks</t>
  </si>
  <si>
    <t>Alpha</t>
  </si>
  <si>
    <t>reject Null Hypothesis</t>
  </si>
  <si>
    <t>Conclusion</t>
  </si>
  <si>
    <t>Observations</t>
  </si>
  <si>
    <t>Pearson Correlation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</si>
  <si>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</si>
  <si>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</si>
  <si>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</si>
  <si>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</si>
  <si>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</si>
  <si>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</si>
  <si>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t-Test: Paired Two Sample for PreScore and PostScore</t>
  </si>
  <si>
    <t>There is no signifcant difference between the means of PreScore and PostScore</t>
  </si>
  <si>
    <t>There is no signifcant difference between the means of PreScore and PostScore.</t>
  </si>
  <si>
    <t>There is a signifcant difference between the means of PreScore and PostScore.</t>
  </si>
  <si>
    <t>P(F&lt;=f) one-tail</t>
  </si>
  <si>
    <t>F Critical one-tail</t>
  </si>
  <si>
    <t>There is no signifcant difference between the variances of A and C groups.</t>
  </si>
  <si>
    <t>There is a signifcant difference between the variances of A and C groups.</t>
  </si>
  <si>
    <t>fail to reject Null Hypothesis</t>
  </si>
  <si>
    <t>Pooled Variance</t>
  </si>
  <si>
    <t>F-Test Two-Sample for Variances of A and C</t>
  </si>
  <si>
    <t>t-Test: Two-Sample Assuming Equal Variances for A and B Groups</t>
  </si>
  <si>
    <t>There is no signifcant difference between the variances of A and B groups.</t>
  </si>
  <si>
    <t>There is a signifcant difference between thevariances of A and B groups.</t>
  </si>
  <si>
    <t>t-Test: Two-Sample Assuming Unequal Variances of B and C Groups</t>
  </si>
  <si>
    <t>There is no signifcant difference between the variances of B and C groups.</t>
  </si>
  <si>
    <t>There is a signifcant difference between thevariances of B and C groups.</t>
  </si>
  <si>
    <t>R</t>
  </si>
  <si>
    <t>There's astrong positive indication that if height increases, the weight decreases.</t>
  </si>
  <si>
    <t>Strongly positive correlation</t>
  </si>
  <si>
    <t>SUMMARY OUTPUT</t>
  </si>
  <si>
    <t>Regression Statistics</t>
  </si>
  <si>
    <t>Multiple R</t>
  </si>
  <si>
    <t>R Square</t>
  </si>
  <si>
    <t>Adjusted R Square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</si>
  <si>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</si>
  <si>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</si>
  <si>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</si>
  <si>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</si>
  <si>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</si>
  <si>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</si>
  <si>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</si>
  <si>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</si>
  <si>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</si>
  <si>
    <t>R-square</t>
  </si>
  <si>
    <t>Excellent Model Fit</t>
  </si>
  <si>
    <t>Model</t>
  </si>
  <si>
    <t>Y = 1.00 X + -104.68</t>
  </si>
  <si>
    <t>Where X = height_cm; Y=weight_kg</t>
  </si>
  <si>
    <t>There is an excellent regression fit between height and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</si>
</sst>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2" fontId="0" fillId="0" borderId="0" xfId="0" applyNumberFormat="1"/>
    <xf numFmtId="0" fontId="0" fillId="0" borderId="3" xfId="0" applyBorder="1"/>
    <xf numFmtId="2" fontId="0" fillId="0" borderId="3" xfId="0" applyNumberFormat="1" applyBorder="1"/>
    <xf numFmtId="0" fontId="1" fillId="0" borderId="3" xfId="0" applyFont="1" applyBorder="1"/>
    <xf numFmtId="0" fontId="4" fillId="0" borderId="2" xfId="0" applyFont="1" applyBorder="1" applyAlignment="1">
      <alignment horizontal="centerContinuous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PH"/>
              <a:t>Histogram of Yield_kgs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hist!$A$2:$A$7</c:f>
              <c:strCache>
                <c:ptCount val="6"/>
                <c:pt idx="0">
                  <c:v>46.00</c:v>
                </c:pt>
                <c:pt idx="1">
                  <c:v>50.40</c:v>
                </c:pt>
                <c:pt idx="2">
                  <c:v>54.80</c:v>
                </c:pt>
                <c:pt idx="3">
                  <c:v>59.20</c:v>
                </c:pt>
                <c:pt idx="4">
                  <c:v>63.60</c:v>
                </c:pt>
                <c:pt idx="5">
                  <c:v>More</c:v>
                </c:pt>
              </c:strCache>
            </c:strRef>
          </c:cat>
          <c:val>
            <c:numRef>
              <c:f>hist!$B$2:$B$7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1-4EA7-85B2-F7B339A78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72651599"/>
        <c:axId val="1172635759"/>
      </c:barChart>
      <c:catAx>
        <c:axId val="1172651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2635759"/>
        <c:crosses val="autoZero"/>
        <c:auto val="1"/>
        <c:lblAlgn val="ctr"/>
        <c:lblOffset val="100"/>
        <c:noMultiLvlLbl val="0"/>
      </c:catAx>
      <c:valAx>
        <c:axId val="11726357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PH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2651599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Plot for</a:t>
            </a:r>
            <a:r>
              <a:rPr lang="en-US" baseline="0"/>
              <a:t> </a:t>
            </a:r>
            <a:r>
              <a:rPr lang="en-US"/>
              <a:t>Weight(kg) and Height(cm)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dataset!$N$1</c:f>
              <c:strCache>
                <c:ptCount val="1"/>
                <c:pt idx="0">
                  <c:v>Weight_kg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470953630796153"/>
                  <c:y val="-1.56999125109361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dataset!$M$2:$M$31</c:f>
              <c:numCache>
                <c:formatCode>General</c:formatCode>
                <c:ptCount val="30"/>
                <c:pt idx="0">
                  <c:v>165</c:v>
                </c:pt>
                <c:pt idx="1">
                  <c:v>170</c:v>
                </c:pt>
                <c:pt idx="2">
                  <c:v>168</c:v>
                </c:pt>
                <c:pt idx="3">
                  <c:v>172</c:v>
                </c:pt>
                <c:pt idx="4">
                  <c:v>166</c:v>
                </c:pt>
                <c:pt idx="5">
                  <c:v>169</c:v>
                </c:pt>
                <c:pt idx="6">
                  <c:v>167</c:v>
                </c:pt>
                <c:pt idx="7">
                  <c:v>171</c:v>
                </c:pt>
                <c:pt idx="8">
                  <c:v>164</c:v>
                </c:pt>
                <c:pt idx="9">
                  <c:v>173</c:v>
                </c:pt>
                <c:pt idx="10">
                  <c:v>168</c:v>
                </c:pt>
                <c:pt idx="11">
                  <c:v>169</c:v>
                </c:pt>
                <c:pt idx="12">
                  <c:v>170</c:v>
                </c:pt>
                <c:pt idx="13">
                  <c:v>171</c:v>
                </c:pt>
                <c:pt idx="14">
                  <c:v>169</c:v>
                </c:pt>
                <c:pt idx="15">
                  <c:v>172</c:v>
                </c:pt>
                <c:pt idx="16">
                  <c:v>167</c:v>
                </c:pt>
                <c:pt idx="17">
                  <c:v>173</c:v>
                </c:pt>
                <c:pt idx="18">
                  <c:v>166</c:v>
                </c:pt>
                <c:pt idx="19">
                  <c:v>174</c:v>
                </c:pt>
                <c:pt idx="20">
                  <c:v>175</c:v>
                </c:pt>
                <c:pt idx="21">
                  <c:v>176</c:v>
                </c:pt>
                <c:pt idx="22">
                  <c:v>174</c:v>
                </c:pt>
                <c:pt idx="23">
                  <c:v>177</c:v>
                </c:pt>
                <c:pt idx="24">
                  <c:v>176</c:v>
                </c:pt>
                <c:pt idx="25">
                  <c:v>178</c:v>
                </c:pt>
                <c:pt idx="26">
                  <c:v>173</c:v>
                </c:pt>
                <c:pt idx="27">
                  <c:v>179</c:v>
                </c:pt>
                <c:pt idx="28">
                  <c:v>172</c:v>
                </c:pt>
                <c:pt idx="29">
                  <c:v>180</c:v>
                </c:pt>
              </c:numCache>
            </c:numRef>
          </c:xVal>
          <c:yVal>
            <c:numRef>
              <c:f>dataset!$N$2:$N$31</c:f>
              <c:numCache>
                <c:formatCode>General</c:formatCode>
                <c:ptCount val="30"/>
                <c:pt idx="0">
                  <c:v>62</c:v>
                </c:pt>
                <c:pt idx="1">
                  <c:v>66</c:v>
                </c:pt>
                <c:pt idx="2">
                  <c:v>64</c:v>
                </c:pt>
                <c:pt idx="3">
                  <c:v>67</c:v>
                </c:pt>
                <c:pt idx="4">
                  <c:v>63</c:v>
                </c:pt>
                <c:pt idx="5">
                  <c:v>65</c:v>
                </c:pt>
                <c:pt idx="6">
                  <c:v>64</c:v>
                </c:pt>
                <c:pt idx="7">
                  <c:v>66</c:v>
                </c:pt>
                <c:pt idx="8">
                  <c:v>61</c:v>
                </c:pt>
                <c:pt idx="9">
                  <c:v>68</c:v>
                </c:pt>
                <c:pt idx="10">
                  <c:v>65</c:v>
                </c:pt>
                <c:pt idx="11">
                  <c:v>66</c:v>
                </c:pt>
                <c:pt idx="12">
                  <c:v>67</c:v>
                </c:pt>
                <c:pt idx="13">
                  <c:v>68</c:v>
                </c:pt>
                <c:pt idx="14">
                  <c:v>66</c:v>
                </c:pt>
                <c:pt idx="15">
                  <c:v>69</c:v>
                </c:pt>
                <c:pt idx="16">
                  <c:v>64</c:v>
                </c:pt>
                <c:pt idx="17">
                  <c:v>70</c:v>
                </c:pt>
                <c:pt idx="18">
                  <c:v>63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71</c:v>
                </c:pt>
                <c:pt idx="23">
                  <c:v>74</c:v>
                </c:pt>
                <c:pt idx="24">
                  <c:v>73</c:v>
                </c:pt>
                <c:pt idx="25">
                  <c:v>75</c:v>
                </c:pt>
                <c:pt idx="26">
                  <c:v>70</c:v>
                </c:pt>
                <c:pt idx="27">
                  <c:v>76</c:v>
                </c:pt>
                <c:pt idx="28">
                  <c:v>69</c:v>
                </c:pt>
                <c:pt idx="29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04-495D-9223-CE9BC861C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912719"/>
        <c:axId val="1298910799"/>
      </c:scatterChart>
      <c:valAx>
        <c:axId val="129891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Height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10799"/>
        <c:crosses val="autoZero"/>
        <c:crossBetween val="midCat"/>
      </c:valAx>
      <c:valAx>
        <c:axId val="129891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Weight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1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AE714-256D-E8F7-34EB-C66B89AE5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</xdr:row>
      <xdr:rowOff>0</xdr:rowOff>
    </xdr:from>
    <xdr:to>
      <xdr:col>17</xdr:col>
      <xdr:colOff>304800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D574C-0845-4EE6-8D75-C08BAA5B1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BD44-365B-43D8-83B2-166557984209}">
  <dimension ref="A1:C15"/>
  <sheetViews>
    <sheetView workbookViewId="0">
      <selection activeCell="E6" sqref="E6"/>
    </sheetView>
  </sheetViews>
  <sheetFormatPr defaultRowHeight="14.4" x14ac:dyDescent="0.3"/>
  <cols>
    <col min="1" max="1" width="16.109375" customWidth="1"/>
    <col min="3" max="3" width="11.88671875" bestFit="1" customWidth="1"/>
  </cols>
  <sheetData>
    <row r="1" spans="1:3" x14ac:dyDescent="0.3">
      <c r="A1" s="12" t="s">
        <v>28</v>
      </c>
      <c r="B1" s="12"/>
      <c r="C1" s="12"/>
    </row>
    <row r="2" spans="1:3" x14ac:dyDescent="0.3">
      <c r="A2" s="9" t="s">
        <v>23</v>
      </c>
      <c r="B2" s="9" t="s">
        <v>24</v>
      </c>
      <c r="C2" s="9" t="s">
        <v>25</v>
      </c>
    </row>
    <row r="3" spans="1:3" x14ac:dyDescent="0.3">
      <c r="A3" s="7" t="s">
        <v>10</v>
      </c>
      <c r="B3" s="8">
        <v>56.833333333333336</v>
      </c>
      <c r="C3" s="7"/>
    </row>
    <row r="4" spans="1:3" x14ac:dyDescent="0.3">
      <c r="A4" s="7" t="s">
        <v>11</v>
      </c>
      <c r="B4" s="8">
        <v>1.1214556768990238</v>
      </c>
      <c r="C4" s="7"/>
    </row>
    <row r="5" spans="1:3" x14ac:dyDescent="0.3">
      <c r="A5" s="7" t="s">
        <v>12</v>
      </c>
      <c r="B5" s="8">
        <v>56.5</v>
      </c>
      <c r="C5" s="7"/>
    </row>
    <row r="6" spans="1:3" x14ac:dyDescent="0.3">
      <c r="A6" s="7" t="s">
        <v>13</v>
      </c>
      <c r="B6" s="8">
        <v>52</v>
      </c>
      <c r="C6" s="7"/>
    </row>
    <row r="7" spans="1:3" x14ac:dyDescent="0.3">
      <c r="A7" s="7" t="s">
        <v>14</v>
      </c>
      <c r="B7" s="8">
        <v>6.142465714798206</v>
      </c>
      <c r="C7" s="7"/>
    </row>
    <row r="8" spans="1:3" x14ac:dyDescent="0.3">
      <c r="A8" s="7" t="s">
        <v>15</v>
      </c>
      <c r="B8" s="8">
        <v>37.729885057471435</v>
      </c>
      <c r="C8" s="7"/>
    </row>
    <row r="9" spans="1:3" x14ac:dyDescent="0.3">
      <c r="A9" s="7" t="s">
        <v>16</v>
      </c>
      <c r="B9" s="8">
        <v>-0.91236870931471037</v>
      </c>
      <c r="C9" s="7" t="s">
        <v>26</v>
      </c>
    </row>
    <row r="10" spans="1:3" x14ac:dyDescent="0.3">
      <c r="A10" s="7" t="s">
        <v>17</v>
      </c>
      <c r="B10" s="8">
        <v>6.7309767347067964E-2</v>
      </c>
      <c r="C10" s="7" t="s">
        <v>27</v>
      </c>
    </row>
    <row r="11" spans="1:3" x14ac:dyDescent="0.3">
      <c r="A11" s="7" t="s">
        <v>18</v>
      </c>
      <c r="B11" s="7">
        <v>22</v>
      </c>
      <c r="C11" s="7"/>
    </row>
    <row r="12" spans="1:3" x14ac:dyDescent="0.3">
      <c r="A12" s="7" t="s">
        <v>19</v>
      </c>
      <c r="B12" s="7">
        <v>46</v>
      </c>
      <c r="C12" s="7"/>
    </row>
    <row r="13" spans="1:3" x14ac:dyDescent="0.3">
      <c r="A13" s="7" t="s">
        <v>20</v>
      </c>
      <c r="B13" s="7">
        <v>68</v>
      </c>
      <c r="C13" s="7"/>
    </row>
    <row r="14" spans="1:3" x14ac:dyDescent="0.3">
      <c r="A14" s="7" t="s">
        <v>21</v>
      </c>
      <c r="B14" s="7">
        <v>1705</v>
      </c>
      <c r="C14" s="7"/>
    </row>
    <row r="15" spans="1:3" x14ac:dyDescent="0.3">
      <c r="A15" s="7" t="s">
        <v>22</v>
      </c>
      <c r="B15" s="7">
        <v>30</v>
      </c>
      <c r="C15" s="7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0466-6F82-444D-A9AA-2E1F9BE75674}">
  <dimension ref="A1:B7"/>
  <sheetViews>
    <sheetView workbookViewId="0">
      <selection activeCell="F18" sqref="F18"/>
    </sheetView>
  </sheetViews>
  <sheetFormatPr defaultRowHeight="14.4" x14ac:dyDescent="0.3"/>
  <sheetData>
    <row r="1" spans="1:2" x14ac:dyDescent="0.3">
      <c r="A1" s="5" t="s">
        <v>29</v>
      </c>
      <c r="B1" s="5" t="s">
        <v>31</v>
      </c>
    </row>
    <row r="2" spans="1:2" x14ac:dyDescent="0.3">
      <c r="A2" s="6">
        <v>46</v>
      </c>
      <c r="B2">
        <v>1</v>
      </c>
    </row>
    <row r="3" spans="1:2" x14ac:dyDescent="0.3">
      <c r="A3" s="6">
        <v>50.4</v>
      </c>
      <c r="B3">
        <v>4</v>
      </c>
    </row>
    <row r="4" spans="1:2" x14ac:dyDescent="0.3">
      <c r="A4" s="6">
        <v>54.8</v>
      </c>
      <c r="B4">
        <v>7</v>
      </c>
    </row>
    <row r="5" spans="1:2" x14ac:dyDescent="0.3">
      <c r="A5" s="6">
        <v>59.2</v>
      </c>
      <c r="B5">
        <v>7</v>
      </c>
    </row>
    <row r="6" spans="1:2" x14ac:dyDescent="0.3">
      <c r="A6" s="6">
        <v>63.6</v>
      </c>
      <c r="B6">
        <v>6</v>
      </c>
    </row>
    <row r="7" spans="1:2" ht="15" thickBot="1" x14ac:dyDescent="0.35">
      <c r="A7" s="4" t="s">
        <v>30</v>
      </c>
      <c r="B7" s="4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EDFD-7922-4005-943B-F6A671D2F9EA}">
  <dimension ref="A1:H29"/>
  <sheetViews>
    <sheetView topLeftCell="A6" workbookViewId="0">
      <selection activeCell="B28" sqref="B28:H28"/>
    </sheetView>
  </sheetViews>
  <sheetFormatPr defaultRowHeight="14.4" x14ac:dyDescent="0.3"/>
  <cols>
    <col min="1" max="1" width="20" bestFit="1" customWidth="1"/>
  </cols>
  <sheetData>
    <row r="1" spans="1:7" x14ac:dyDescent="0.3">
      <c r="A1" s="11" t="s">
        <v>47</v>
      </c>
      <c r="B1" s="11"/>
      <c r="C1" s="11"/>
      <c r="D1" s="11"/>
      <c r="E1" s="11"/>
    </row>
    <row r="3" spans="1:7" ht="15" thickBot="1" x14ac:dyDescent="0.35">
      <c r="A3" t="s">
        <v>32</v>
      </c>
    </row>
    <row r="4" spans="1:7" x14ac:dyDescent="0.3">
      <c r="A4" s="5" t="s">
        <v>33</v>
      </c>
      <c r="B4" s="5" t="s">
        <v>22</v>
      </c>
      <c r="C4" s="5" t="s">
        <v>21</v>
      </c>
      <c r="D4" s="5" t="s">
        <v>34</v>
      </c>
      <c r="E4" s="5" t="s">
        <v>35</v>
      </c>
    </row>
    <row r="5" spans="1:7" x14ac:dyDescent="0.3">
      <c r="A5" t="s">
        <v>7</v>
      </c>
      <c r="B5">
        <v>10</v>
      </c>
      <c r="C5">
        <v>505</v>
      </c>
      <c r="D5">
        <v>50.5</v>
      </c>
      <c r="E5">
        <v>9.1666666666666661</v>
      </c>
    </row>
    <row r="6" spans="1:7" x14ac:dyDescent="0.3">
      <c r="A6" t="s">
        <v>8</v>
      </c>
      <c r="B6">
        <v>10</v>
      </c>
      <c r="C6">
        <v>565</v>
      </c>
      <c r="D6">
        <v>56.5</v>
      </c>
      <c r="E6">
        <v>9.1666666666666661</v>
      </c>
    </row>
    <row r="7" spans="1:7" ht="15" thickBot="1" x14ac:dyDescent="0.35">
      <c r="A7" s="4" t="s">
        <v>9</v>
      </c>
      <c r="B7" s="4">
        <v>10</v>
      </c>
      <c r="C7" s="4">
        <v>635</v>
      </c>
      <c r="D7" s="4">
        <v>63.5</v>
      </c>
      <c r="E7" s="4">
        <v>9.1666666666666661</v>
      </c>
    </row>
    <row r="10" spans="1:7" ht="15" thickBot="1" x14ac:dyDescent="0.35">
      <c r="A10" t="s">
        <v>36</v>
      </c>
    </row>
    <row r="11" spans="1:7" x14ac:dyDescent="0.3">
      <c r="A11" s="5" t="s">
        <v>37</v>
      </c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  <c r="G11" s="5" t="s">
        <v>43</v>
      </c>
    </row>
    <row r="12" spans="1:7" x14ac:dyDescent="0.3">
      <c r="A12" t="s">
        <v>44</v>
      </c>
      <c r="B12">
        <v>846.66666666666674</v>
      </c>
      <c r="C12">
        <v>2</v>
      </c>
      <c r="D12">
        <v>423.33333333333337</v>
      </c>
      <c r="E12">
        <v>46.181818181818187</v>
      </c>
      <c r="F12">
        <v>1.9303597947548311E-9</v>
      </c>
      <c r="G12">
        <v>3.3541308285291991</v>
      </c>
    </row>
    <row r="13" spans="1:7" x14ac:dyDescent="0.3">
      <c r="A13" t="s">
        <v>45</v>
      </c>
      <c r="B13">
        <v>247.5</v>
      </c>
      <c r="C13">
        <v>27</v>
      </c>
      <c r="D13">
        <v>9.1666666666666661</v>
      </c>
    </row>
    <row r="15" spans="1:7" ht="15" thickBot="1" x14ac:dyDescent="0.35">
      <c r="A15" s="4" t="s">
        <v>46</v>
      </c>
      <c r="B15" s="4">
        <v>1094.1666666666667</v>
      </c>
      <c r="C15" s="4">
        <v>29</v>
      </c>
      <c r="D15" s="4"/>
      <c r="E15" s="4"/>
      <c r="F15" s="4"/>
      <c r="G15" s="4"/>
    </row>
    <row r="17" spans="1:8" x14ac:dyDescent="0.3">
      <c r="A17" s="3" t="s">
        <v>48</v>
      </c>
      <c r="B17" s="11" t="s">
        <v>50</v>
      </c>
      <c r="C17" s="11"/>
      <c r="D17" s="11"/>
      <c r="E17" s="11"/>
      <c r="F17" s="11"/>
      <c r="G17" s="11"/>
      <c r="H17" s="11"/>
    </row>
    <row r="18" spans="1:8" x14ac:dyDescent="0.3">
      <c r="A18" s="3" t="s">
        <v>49</v>
      </c>
      <c r="B18" s="11" t="s">
        <v>51</v>
      </c>
      <c r="C18" s="11"/>
      <c r="D18" s="11"/>
      <c r="E18" s="11"/>
      <c r="F18" s="11"/>
      <c r="G18" s="11"/>
      <c r="H18" s="11"/>
    </row>
    <row r="19" spans="1:8" x14ac:dyDescent="0.3">
      <c r="A19" s="3" t="s">
        <v>52</v>
      </c>
    </row>
    <row r="20" spans="1:8" x14ac:dyDescent="0.3">
      <c r="A20" s="3" t="s">
        <v>41</v>
      </c>
      <c r="B20">
        <v>46.181818181818187</v>
      </c>
    </row>
    <row r="21" spans="1:8" x14ac:dyDescent="0.3">
      <c r="A21" s="3" t="s">
        <v>43</v>
      </c>
      <c r="B21">
        <v>3.3541308285291991</v>
      </c>
    </row>
    <row r="22" spans="1:8" x14ac:dyDescent="0.3">
      <c r="A22" s="3" t="s">
        <v>53</v>
      </c>
      <c r="B22" t="s">
        <v>55</v>
      </c>
    </row>
    <row r="23" spans="1:8" x14ac:dyDescent="0.3">
      <c r="A23" s="3"/>
    </row>
    <row r="24" spans="1:8" x14ac:dyDescent="0.3">
      <c r="A24" s="3" t="s">
        <v>42</v>
      </c>
      <c r="B24">
        <v>1.9303597947548311E-9</v>
      </c>
    </row>
    <row r="25" spans="1:8" x14ac:dyDescent="0.3">
      <c r="A25" s="3" t="s">
        <v>54</v>
      </c>
      <c r="B25">
        <v>0.05</v>
      </c>
    </row>
    <row r="26" spans="1:8" x14ac:dyDescent="0.3">
      <c r="A26" s="3" t="s">
        <v>53</v>
      </c>
      <c r="B26" t="s">
        <v>55</v>
      </c>
    </row>
    <row r="27" spans="1:8" x14ac:dyDescent="0.3">
      <c r="A27" s="3"/>
    </row>
    <row r="28" spans="1:8" x14ac:dyDescent="0.3">
      <c r="A28" s="3" t="s">
        <v>56</v>
      </c>
      <c r="B28" s="11" t="s">
        <v>51</v>
      </c>
      <c r="C28" s="11"/>
      <c r="D28" s="11"/>
      <c r="E28" s="11"/>
      <c r="F28" s="11"/>
      <c r="G28" s="11"/>
      <c r="H28" s="11"/>
    </row>
    <row r="29" spans="1:8" x14ac:dyDescent="0.3">
      <c r="A29" s="3"/>
    </row>
  </sheetData>
  <mergeCells count="4">
    <mergeCell ref="A1:E1"/>
    <mergeCell ref="B17:H17"/>
    <mergeCell ref="B18:H18"/>
    <mergeCell ref="B28:H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584A-847E-4DDF-88BE-6CCDD43B9931}">
  <dimension ref="A1:H24"/>
  <sheetViews>
    <sheetView topLeftCell="A2" workbookViewId="0">
      <selection activeCell="E11" sqref="E11"/>
    </sheetView>
  </sheetViews>
  <sheetFormatPr defaultRowHeight="14.4" x14ac:dyDescent="0.3"/>
  <cols>
    <col min="1" max="1" width="30.33203125" bestFit="1" customWidth="1"/>
  </cols>
  <sheetData>
    <row r="1" spans="1:8" x14ac:dyDescent="0.3">
      <c r="A1" s="13" t="s">
        <v>65</v>
      </c>
      <c r="B1" s="13"/>
      <c r="C1" s="13"/>
    </row>
    <row r="2" spans="1:8" ht="15" thickBot="1" x14ac:dyDescent="0.35"/>
    <row r="3" spans="1:8" x14ac:dyDescent="0.3">
      <c r="A3" s="5"/>
      <c r="B3" s="5" t="s">
        <v>3</v>
      </c>
      <c r="C3" s="5" t="s">
        <v>4</v>
      </c>
    </row>
    <row r="4" spans="1:8" x14ac:dyDescent="0.3">
      <c r="A4" t="s">
        <v>10</v>
      </c>
      <c r="B4">
        <v>71.099999999999994</v>
      </c>
      <c r="C4">
        <v>77.766666666666666</v>
      </c>
    </row>
    <row r="5" spans="1:8" x14ac:dyDescent="0.3">
      <c r="A5" t="s">
        <v>35</v>
      </c>
      <c r="B5">
        <v>8.2310344827586182</v>
      </c>
      <c r="C5">
        <v>9.0126436781609183</v>
      </c>
    </row>
    <row r="6" spans="1:8" x14ac:dyDescent="0.3">
      <c r="A6" t="s">
        <v>57</v>
      </c>
      <c r="B6">
        <v>30</v>
      </c>
      <c r="C6">
        <v>30</v>
      </c>
    </row>
    <row r="7" spans="1:8" x14ac:dyDescent="0.3">
      <c r="A7" t="s">
        <v>58</v>
      </c>
      <c r="B7">
        <v>0.98768359507787629</v>
      </c>
    </row>
    <row r="8" spans="1:8" x14ac:dyDescent="0.3">
      <c r="A8" t="s">
        <v>59</v>
      </c>
      <c r="B8">
        <v>0</v>
      </c>
    </row>
    <row r="9" spans="1:8" x14ac:dyDescent="0.3">
      <c r="A9" t="s">
        <v>39</v>
      </c>
      <c r="B9">
        <v>29</v>
      </c>
    </row>
    <row r="10" spans="1:8" x14ac:dyDescent="0.3">
      <c r="A10" t="s">
        <v>60</v>
      </c>
      <c r="B10">
        <v>-76.157731058639953</v>
      </c>
    </row>
    <row r="11" spans="1:8" x14ac:dyDescent="0.3">
      <c r="A11" t="s">
        <v>61</v>
      </c>
      <c r="B11">
        <v>2.9555483390410905E-35</v>
      </c>
    </row>
    <row r="12" spans="1:8" x14ac:dyDescent="0.3">
      <c r="A12" t="s">
        <v>62</v>
      </c>
      <c r="B12">
        <v>1.6991270265334986</v>
      </c>
    </row>
    <row r="13" spans="1:8" x14ac:dyDescent="0.3">
      <c r="A13" t="s">
        <v>63</v>
      </c>
      <c r="B13">
        <v>5.911096678082181E-35</v>
      </c>
    </row>
    <row r="14" spans="1:8" ht="15" thickBot="1" x14ac:dyDescent="0.35">
      <c r="A14" s="4" t="s">
        <v>64</v>
      </c>
      <c r="B14" s="4">
        <v>2.0452296421327048</v>
      </c>
      <c r="C14" s="4"/>
    </row>
    <row r="16" spans="1:8" x14ac:dyDescent="0.3">
      <c r="A16" s="3" t="s">
        <v>48</v>
      </c>
      <c r="B16" s="11" t="s">
        <v>67</v>
      </c>
      <c r="C16" s="11"/>
      <c r="D16" s="11"/>
      <c r="E16" s="11"/>
      <c r="F16" s="11"/>
      <c r="G16" s="11"/>
      <c r="H16" s="11"/>
    </row>
    <row r="17" spans="1:8" x14ac:dyDescent="0.3">
      <c r="A17" s="3" t="s">
        <v>49</v>
      </c>
      <c r="B17" s="11" t="s">
        <v>68</v>
      </c>
      <c r="C17" s="11"/>
      <c r="D17" s="11"/>
      <c r="E17" s="11"/>
      <c r="F17" s="11"/>
      <c r="G17" s="11"/>
      <c r="H17" s="11"/>
    </row>
    <row r="18" spans="1:8" x14ac:dyDescent="0.3">
      <c r="A18" s="3" t="s">
        <v>52</v>
      </c>
    </row>
    <row r="19" spans="1:8" x14ac:dyDescent="0.3">
      <c r="A19" s="3"/>
    </row>
    <row r="20" spans="1:8" x14ac:dyDescent="0.3">
      <c r="A20" s="3" t="s">
        <v>42</v>
      </c>
      <c r="B20">
        <v>5.911096678082181E-35</v>
      </c>
    </row>
    <row r="21" spans="1:8" x14ac:dyDescent="0.3">
      <c r="A21" s="3" t="s">
        <v>54</v>
      </c>
      <c r="B21">
        <v>0.05</v>
      </c>
    </row>
    <row r="22" spans="1:8" x14ac:dyDescent="0.3">
      <c r="A22" s="3" t="s">
        <v>53</v>
      </c>
      <c r="B22" t="s">
        <v>55</v>
      </c>
    </row>
    <row r="23" spans="1:8" x14ac:dyDescent="0.3">
      <c r="A23" s="3"/>
    </row>
    <row r="24" spans="1:8" x14ac:dyDescent="0.3">
      <c r="A24" s="3" t="s">
        <v>56</v>
      </c>
      <c r="B24" s="11" t="s">
        <v>66</v>
      </c>
      <c r="C24" s="11"/>
      <c r="D24" s="11"/>
      <c r="E24" s="11"/>
      <c r="F24" s="11"/>
      <c r="G24" s="11"/>
      <c r="H24" s="11"/>
    </row>
  </sheetData>
  <mergeCells count="4">
    <mergeCell ref="B16:H16"/>
    <mergeCell ref="B17:H17"/>
    <mergeCell ref="B24:H24"/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A1CD-AA63-4C6C-BC3C-35C3B5A0CEB8}">
  <dimension ref="A1:H20"/>
  <sheetViews>
    <sheetView workbookViewId="0">
      <selection activeCell="G7" sqref="G7"/>
    </sheetView>
  </sheetViews>
  <sheetFormatPr defaultRowHeight="14.4" x14ac:dyDescent="0.3"/>
  <cols>
    <col min="1" max="1" width="27.6640625" bestFit="1" customWidth="1"/>
  </cols>
  <sheetData>
    <row r="1" spans="1:8" x14ac:dyDescent="0.3">
      <c r="A1" s="13" t="s">
        <v>75</v>
      </c>
      <c r="B1" s="13"/>
      <c r="C1" s="13"/>
    </row>
    <row r="2" spans="1:8" ht="15" thickBot="1" x14ac:dyDescent="0.35"/>
    <row r="3" spans="1:8" x14ac:dyDescent="0.3">
      <c r="A3" s="5"/>
      <c r="B3" s="5" t="s">
        <v>7</v>
      </c>
      <c r="C3" s="5" t="s">
        <v>9</v>
      </c>
    </row>
    <row r="4" spans="1:8" x14ac:dyDescent="0.3">
      <c r="A4" t="s">
        <v>10</v>
      </c>
      <c r="B4">
        <v>50.5</v>
      </c>
      <c r="C4">
        <v>63.5</v>
      </c>
    </row>
    <row r="5" spans="1:8" x14ac:dyDescent="0.3">
      <c r="A5" t="s">
        <v>35</v>
      </c>
      <c r="B5">
        <v>9.1666666666666661</v>
      </c>
      <c r="C5">
        <v>9.1666666666666661</v>
      </c>
    </row>
    <row r="6" spans="1:8" x14ac:dyDescent="0.3">
      <c r="A6" t="s">
        <v>57</v>
      </c>
      <c r="B6">
        <v>10</v>
      </c>
      <c r="C6">
        <v>10</v>
      </c>
    </row>
    <row r="7" spans="1:8" x14ac:dyDescent="0.3">
      <c r="A7" t="s">
        <v>39</v>
      </c>
      <c r="B7">
        <v>9</v>
      </c>
      <c r="C7">
        <v>9</v>
      </c>
    </row>
    <row r="8" spans="1:8" x14ac:dyDescent="0.3">
      <c r="A8" t="s">
        <v>41</v>
      </c>
      <c r="B8">
        <v>1</v>
      </c>
    </row>
    <row r="9" spans="1:8" x14ac:dyDescent="0.3">
      <c r="A9" t="s">
        <v>69</v>
      </c>
      <c r="B9">
        <v>0.50000000000000011</v>
      </c>
    </row>
    <row r="10" spans="1:8" ht="15" thickBot="1" x14ac:dyDescent="0.35">
      <c r="A10" s="4" t="s">
        <v>70</v>
      </c>
      <c r="B10" s="4">
        <v>0.3145749061513079</v>
      </c>
      <c r="C10" s="4"/>
    </row>
    <row r="12" spans="1:8" x14ac:dyDescent="0.3">
      <c r="A12" s="3" t="s">
        <v>48</v>
      </c>
      <c r="B12" s="11" t="s">
        <v>71</v>
      </c>
      <c r="C12" s="11"/>
      <c r="D12" s="11"/>
      <c r="E12" s="11"/>
      <c r="F12" s="11"/>
      <c r="G12" s="11"/>
      <c r="H12" s="11"/>
    </row>
    <row r="13" spans="1:8" x14ac:dyDescent="0.3">
      <c r="A13" s="3" t="s">
        <v>49</v>
      </c>
      <c r="B13" s="11" t="s">
        <v>72</v>
      </c>
      <c r="C13" s="11"/>
      <c r="D13" s="11"/>
      <c r="E13" s="11"/>
      <c r="F13" s="11"/>
      <c r="G13" s="11"/>
      <c r="H13" s="11"/>
    </row>
    <row r="14" spans="1:8" x14ac:dyDescent="0.3">
      <c r="A14" s="3" t="s">
        <v>52</v>
      </c>
    </row>
    <row r="15" spans="1:8" x14ac:dyDescent="0.3">
      <c r="A15" s="3"/>
    </row>
    <row r="16" spans="1:8" x14ac:dyDescent="0.3">
      <c r="A16" s="3" t="s">
        <v>42</v>
      </c>
      <c r="B16">
        <v>0.50000000000000011</v>
      </c>
    </row>
    <row r="17" spans="1:8" x14ac:dyDescent="0.3">
      <c r="A17" s="3" t="s">
        <v>54</v>
      </c>
      <c r="B17">
        <v>0.05</v>
      </c>
    </row>
    <row r="18" spans="1:8" x14ac:dyDescent="0.3">
      <c r="A18" s="3" t="s">
        <v>53</v>
      </c>
      <c r="B18" t="s">
        <v>73</v>
      </c>
    </row>
    <row r="19" spans="1:8" x14ac:dyDescent="0.3">
      <c r="A19" s="3"/>
    </row>
    <row r="20" spans="1:8" x14ac:dyDescent="0.3">
      <c r="A20" s="3" t="s">
        <v>56</v>
      </c>
      <c r="B20" s="11" t="s">
        <v>71</v>
      </c>
      <c r="C20" s="11"/>
      <c r="D20" s="11"/>
      <c r="E20" s="11"/>
      <c r="F20" s="11"/>
      <c r="G20" s="11"/>
      <c r="H20" s="11"/>
    </row>
  </sheetData>
  <mergeCells count="4">
    <mergeCell ref="B12:H12"/>
    <mergeCell ref="B13:H13"/>
    <mergeCell ref="B20:H20"/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DF37-7432-4F48-8406-6C807E48FE6F}">
  <dimension ref="A1:H24"/>
  <sheetViews>
    <sheetView topLeftCell="A4" workbookViewId="0">
      <selection activeCell="G13" sqref="G13"/>
    </sheetView>
  </sheetViews>
  <sheetFormatPr defaultRowHeight="14.4" x14ac:dyDescent="0.3"/>
  <cols>
    <col min="1" max="1" width="25.77734375" bestFit="1" customWidth="1"/>
  </cols>
  <sheetData>
    <row r="1" spans="1:8" x14ac:dyDescent="0.3">
      <c r="A1" s="13" t="s">
        <v>76</v>
      </c>
      <c r="B1" s="13"/>
      <c r="C1" s="13"/>
      <c r="D1" s="13"/>
      <c r="E1" s="13"/>
      <c r="F1" s="13"/>
    </row>
    <row r="2" spans="1:8" ht="15" thickBot="1" x14ac:dyDescent="0.35"/>
    <row r="3" spans="1:8" x14ac:dyDescent="0.3">
      <c r="A3" s="5"/>
      <c r="B3" s="5" t="s">
        <v>7</v>
      </c>
      <c r="C3" s="5" t="s">
        <v>8</v>
      </c>
    </row>
    <row r="4" spans="1:8" x14ac:dyDescent="0.3">
      <c r="A4" t="s">
        <v>10</v>
      </c>
      <c r="B4">
        <v>50.5</v>
      </c>
      <c r="C4">
        <v>56.5</v>
      </c>
    </row>
    <row r="5" spans="1:8" x14ac:dyDescent="0.3">
      <c r="A5" t="s">
        <v>35</v>
      </c>
      <c r="B5">
        <v>9.1666666666666661</v>
      </c>
      <c r="C5">
        <v>9.1666666666666661</v>
      </c>
    </row>
    <row r="6" spans="1:8" x14ac:dyDescent="0.3">
      <c r="A6" t="s">
        <v>57</v>
      </c>
      <c r="B6">
        <v>10</v>
      </c>
      <c r="C6">
        <v>10</v>
      </c>
    </row>
    <row r="7" spans="1:8" x14ac:dyDescent="0.3">
      <c r="A7" t="s">
        <v>74</v>
      </c>
      <c r="B7">
        <v>9.1666666666666661</v>
      </c>
    </row>
    <row r="8" spans="1:8" x14ac:dyDescent="0.3">
      <c r="A8" t="s">
        <v>59</v>
      </c>
      <c r="B8">
        <v>0</v>
      </c>
    </row>
    <row r="9" spans="1:8" x14ac:dyDescent="0.3">
      <c r="A9" t="s">
        <v>39</v>
      </c>
      <c r="B9">
        <v>18</v>
      </c>
    </row>
    <row r="10" spans="1:8" x14ac:dyDescent="0.3">
      <c r="A10" t="s">
        <v>60</v>
      </c>
      <c r="B10">
        <v>-4.4312936752559784</v>
      </c>
    </row>
    <row r="11" spans="1:8" x14ac:dyDescent="0.3">
      <c r="A11" t="s">
        <v>61</v>
      </c>
      <c r="B11">
        <v>1.611854816170075E-4</v>
      </c>
    </row>
    <row r="12" spans="1:8" x14ac:dyDescent="0.3">
      <c r="A12" t="s">
        <v>62</v>
      </c>
      <c r="B12">
        <v>1.7340636066175394</v>
      </c>
    </row>
    <row r="13" spans="1:8" x14ac:dyDescent="0.3">
      <c r="A13" t="s">
        <v>63</v>
      </c>
      <c r="B13">
        <v>3.22370963234015E-4</v>
      </c>
    </row>
    <row r="14" spans="1:8" ht="15" thickBot="1" x14ac:dyDescent="0.35">
      <c r="A14" s="4" t="s">
        <v>64</v>
      </c>
      <c r="B14" s="4">
        <v>2.1009220402410378</v>
      </c>
      <c r="C14" s="4"/>
    </row>
    <row r="16" spans="1:8" x14ac:dyDescent="0.3">
      <c r="A16" s="3" t="s">
        <v>48</v>
      </c>
      <c r="B16" s="11" t="s">
        <v>77</v>
      </c>
      <c r="C16" s="11"/>
      <c r="D16" s="11"/>
      <c r="E16" s="11"/>
      <c r="F16" s="11"/>
      <c r="G16" s="11"/>
      <c r="H16" s="11"/>
    </row>
    <row r="17" spans="1:8" x14ac:dyDescent="0.3">
      <c r="A17" s="3" t="s">
        <v>49</v>
      </c>
      <c r="B17" s="11" t="s">
        <v>78</v>
      </c>
      <c r="C17" s="11"/>
      <c r="D17" s="11"/>
      <c r="E17" s="11"/>
      <c r="F17" s="11"/>
      <c r="G17" s="11"/>
      <c r="H17" s="11"/>
    </row>
    <row r="18" spans="1:8" x14ac:dyDescent="0.3">
      <c r="A18" s="3" t="s">
        <v>52</v>
      </c>
    </row>
    <row r="19" spans="1:8" x14ac:dyDescent="0.3">
      <c r="A19" s="3"/>
    </row>
    <row r="20" spans="1:8" x14ac:dyDescent="0.3">
      <c r="A20" s="3" t="s">
        <v>42</v>
      </c>
      <c r="B20">
        <v>3.22370963234015E-4</v>
      </c>
    </row>
    <row r="21" spans="1:8" x14ac:dyDescent="0.3">
      <c r="A21" s="3" t="s">
        <v>54</v>
      </c>
      <c r="B21">
        <v>0.05</v>
      </c>
    </row>
    <row r="22" spans="1:8" x14ac:dyDescent="0.3">
      <c r="A22" s="3" t="s">
        <v>53</v>
      </c>
      <c r="B22" t="s">
        <v>55</v>
      </c>
    </row>
    <row r="23" spans="1:8" x14ac:dyDescent="0.3">
      <c r="A23" s="3"/>
    </row>
    <row r="24" spans="1:8" x14ac:dyDescent="0.3">
      <c r="A24" s="3" t="s">
        <v>56</v>
      </c>
      <c r="B24" s="11" t="s">
        <v>81</v>
      </c>
      <c r="C24" s="11"/>
      <c r="D24" s="11"/>
      <c r="E24" s="11"/>
      <c r="F24" s="11"/>
      <c r="G24" s="11"/>
      <c r="H24" s="11"/>
    </row>
  </sheetData>
  <mergeCells count="4">
    <mergeCell ref="A1:F1"/>
    <mergeCell ref="B16:H16"/>
    <mergeCell ref="B17:H17"/>
    <mergeCell ref="B24:H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C0A7-BD97-4EC2-8248-D6D7ECCB2C4C}">
  <dimension ref="A1:H23"/>
  <sheetViews>
    <sheetView workbookViewId="0">
      <selection activeCell="B23" sqref="B23:H23"/>
    </sheetView>
  </sheetViews>
  <sheetFormatPr defaultRowHeight="14.4" x14ac:dyDescent="0.3"/>
  <cols>
    <col min="1" max="1" width="40.6640625" bestFit="1" customWidth="1"/>
    <col min="2" max="2" width="11" bestFit="1" customWidth="1"/>
  </cols>
  <sheetData>
    <row r="1" spans="1:8" x14ac:dyDescent="0.3">
      <c r="A1" s="13" t="s">
        <v>79</v>
      </c>
      <c r="B1" s="13"/>
      <c r="C1" s="13"/>
    </row>
    <row r="2" spans="1:8" ht="15" thickBot="1" x14ac:dyDescent="0.35"/>
    <row r="3" spans="1:8" x14ac:dyDescent="0.3">
      <c r="A3" s="5"/>
      <c r="B3" s="5" t="s">
        <v>8</v>
      </c>
      <c r="C3" s="5" t="s">
        <v>9</v>
      </c>
    </row>
    <row r="4" spans="1:8" x14ac:dyDescent="0.3">
      <c r="A4" t="s">
        <v>10</v>
      </c>
      <c r="B4">
        <v>56.5</v>
      </c>
      <c r="C4">
        <v>63.5</v>
      </c>
    </row>
    <row r="5" spans="1:8" x14ac:dyDescent="0.3">
      <c r="A5" t="s">
        <v>35</v>
      </c>
      <c r="B5">
        <v>9.1666666666666661</v>
      </c>
      <c r="C5">
        <v>9.1666666666666661</v>
      </c>
    </row>
    <row r="6" spans="1:8" x14ac:dyDescent="0.3">
      <c r="A6" t="s">
        <v>57</v>
      </c>
      <c r="B6">
        <v>10</v>
      </c>
      <c r="C6">
        <v>10</v>
      </c>
    </row>
    <row r="7" spans="1:8" x14ac:dyDescent="0.3">
      <c r="A7" t="s">
        <v>59</v>
      </c>
      <c r="B7">
        <v>0</v>
      </c>
    </row>
    <row r="8" spans="1:8" x14ac:dyDescent="0.3">
      <c r="A8" t="s">
        <v>39</v>
      </c>
      <c r="B8">
        <v>18</v>
      </c>
    </row>
    <row r="9" spans="1:8" x14ac:dyDescent="0.3">
      <c r="A9" t="s">
        <v>60</v>
      </c>
      <c r="B9">
        <v>-5.1698426211319752</v>
      </c>
    </row>
    <row r="10" spans="1:8" x14ac:dyDescent="0.3">
      <c r="A10" t="s">
        <v>61</v>
      </c>
      <c r="B10">
        <v>3.2188513609848144E-5</v>
      </c>
    </row>
    <row r="11" spans="1:8" x14ac:dyDescent="0.3">
      <c r="A11" t="s">
        <v>62</v>
      </c>
      <c r="B11">
        <v>1.7340636066175394</v>
      </c>
    </row>
    <row r="12" spans="1:8" x14ac:dyDescent="0.3">
      <c r="A12" t="s">
        <v>63</v>
      </c>
      <c r="B12">
        <v>6.4377027219696288E-5</v>
      </c>
    </row>
    <row r="13" spans="1:8" ht="15" thickBot="1" x14ac:dyDescent="0.35">
      <c r="A13" s="4" t="s">
        <v>64</v>
      </c>
      <c r="B13" s="4">
        <v>2.1009220402410378</v>
      </c>
      <c r="C13" s="4"/>
    </row>
    <row r="15" spans="1:8" x14ac:dyDescent="0.3">
      <c r="A15" s="3" t="s">
        <v>48</v>
      </c>
      <c r="B15" s="11" t="s">
        <v>80</v>
      </c>
      <c r="C15" s="11"/>
      <c r="D15" s="11"/>
      <c r="E15" s="11"/>
      <c r="F15" s="11"/>
      <c r="G15" s="11"/>
      <c r="H15" s="11"/>
    </row>
    <row r="16" spans="1:8" x14ac:dyDescent="0.3">
      <c r="A16" s="3" t="s">
        <v>49</v>
      </c>
      <c r="B16" s="11" t="s">
        <v>81</v>
      </c>
      <c r="C16" s="11"/>
      <c r="D16" s="11"/>
      <c r="E16" s="11"/>
      <c r="F16" s="11"/>
      <c r="G16" s="11"/>
      <c r="H16" s="11"/>
    </row>
    <row r="17" spans="1:8" x14ac:dyDescent="0.3">
      <c r="A17" s="3" t="s">
        <v>52</v>
      </c>
    </row>
    <row r="18" spans="1:8" x14ac:dyDescent="0.3">
      <c r="A18" s="3"/>
    </row>
    <row r="19" spans="1:8" x14ac:dyDescent="0.3">
      <c r="A19" s="3" t="s">
        <v>42</v>
      </c>
      <c r="B19">
        <v>6.4377027219696302E-5</v>
      </c>
    </row>
    <row r="20" spans="1:8" x14ac:dyDescent="0.3">
      <c r="A20" s="3" t="s">
        <v>54</v>
      </c>
      <c r="B20">
        <v>0.05</v>
      </c>
    </row>
    <row r="21" spans="1:8" x14ac:dyDescent="0.3">
      <c r="A21" s="3" t="s">
        <v>53</v>
      </c>
      <c r="B21" t="s">
        <v>55</v>
      </c>
    </row>
    <row r="22" spans="1:8" x14ac:dyDescent="0.3">
      <c r="A22" s="3"/>
    </row>
    <row r="23" spans="1:8" x14ac:dyDescent="0.3">
      <c r="A23" s="3" t="s">
        <v>56</v>
      </c>
      <c r="B23" s="11" t="s">
        <v>81</v>
      </c>
      <c r="C23" s="11"/>
      <c r="D23" s="11"/>
      <c r="E23" s="11"/>
      <c r="F23" s="11"/>
      <c r="G23" s="11"/>
      <c r="H23" s="11"/>
    </row>
  </sheetData>
  <mergeCells count="4">
    <mergeCell ref="B15:H15"/>
    <mergeCell ref="B16:H16"/>
    <mergeCell ref="B23:H23"/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7B54-8A65-4F7E-B198-073E11BA6942}">
  <dimension ref="A1:C7"/>
  <sheetViews>
    <sheetView workbookViewId="0">
      <selection activeCell="B7" sqref="B7"/>
    </sheetView>
  </sheetViews>
  <sheetFormatPr defaultRowHeight="14.4" x14ac:dyDescent="0.3"/>
  <cols>
    <col min="1" max="1" width="9.5546875" bestFit="1" customWidth="1"/>
    <col min="2" max="2" width="13.88671875" bestFit="1" customWidth="1"/>
  </cols>
  <sheetData>
    <row r="1" spans="1:3" x14ac:dyDescent="0.3">
      <c r="A1" s="5"/>
      <c r="B1" s="5" t="s">
        <v>5</v>
      </c>
      <c r="C1" s="5" t="s">
        <v>6</v>
      </c>
    </row>
    <row r="2" spans="1:3" x14ac:dyDescent="0.3">
      <c r="A2" t="s">
        <v>5</v>
      </c>
      <c r="B2">
        <v>1</v>
      </c>
    </row>
    <row r="3" spans="1:3" ht="15" thickBot="1" x14ac:dyDescent="0.35">
      <c r="A3" s="4" t="s">
        <v>6</v>
      </c>
      <c r="B3" s="4">
        <v>0.98862310451922286</v>
      </c>
      <c r="C3" s="4">
        <v>1</v>
      </c>
    </row>
    <row r="5" spans="1:3" ht="15" thickBot="1" x14ac:dyDescent="0.35">
      <c r="A5" t="s">
        <v>82</v>
      </c>
      <c r="B5" s="4">
        <v>0.98862310451922286</v>
      </c>
    </row>
    <row r="6" spans="1:3" x14ac:dyDescent="0.3">
      <c r="A6" t="s">
        <v>53</v>
      </c>
      <c r="B6" t="s">
        <v>84</v>
      </c>
    </row>
    <row r="7" spans="1:3" x14ac:dyDescent="0.3">
      <c r="A7" t="s">
        <v>56</v>
      </c>
      <c r="B7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1953-DC7C-4C58-8958-8FDFB22D91A3}">
  <dimension ref="A1:I26"/>
  <sheetViews>
    <sheetView tabSelected="1" topLeftCell="A12" workbookViewId="0">
      <selection activeCell="U21" sqref="U21"/>
    </sheetView>
  </sheetViews>
  <sheetFormatPr defaultRowHeight="14.4" x14ac:dyDescent="0.3"/>
  <cols>
    <col min="1" max="1" width="16.44140625" bestFit="1" customWidth="1"/>
    <col min="2" max="2" width="16.5546875" bestFit="1" customWidth="1"/>
    <col min="3" max="3" width="13.21875" bestFit="1" customWidth="1"/>
    <col min="6" max="6" width="12.77734375" bestFit="1" customWidth="1"/>
    <col min="7" max="9" width="12.6640625" bestFit="1" customWidth="1"/>
  </cols>
  <sheetData>
    <row r="1" spans="1:9" x14ac:dyDescent="0.3">
      <c r="A1" t="s">
        <v>85</v>
      </c>
    </row>
    <row r="2" spans="1:9" ht="15" thickBot="1" x14ac:dyDescent="0.35"/>
    <row r="3" spans="1:9" x14ac:dyDescent="0.3">
      <c r="A3" s="10" t="s">
        <v>86</v>
      </c>
      <c r="B3" s="10"/>
    </row>
    <row r="4" spans="1:9" x14ac:dyDescent="0.3">
      <c r="A4" t="s">
        <v>87</v>
      </c>
      <c r="B4">
        <v>0.98862310451922275</v>
      </c>
    </row>
    <row r="5" spans="1:9" x14ac:dyDescent="0.3">
      <c r="A5" t="s">
        <v>88</v>
      </c>
      <c r="B5">
        <v>0.97737564278922595</v>
      </c>
    </row>
    <row r="6" spans="1:9" x14ac:dyDescent="0.3">
      <c r="A6" t="s">
        <v>89</v>
      </c>
      <c r="B6">
        <v>0.97656763003169833</v>
      </c>
    </row>
    <row r="7" spans="1:9" x14ac:dyDescent="0.3">
      <c r="A7" t="s">
        <v>11</v>
      </c>
      <c r="B7">
        <v>0.66187429574875023</v>
      </c>
    </row>
    <row r="8" spans="1:9" ht="15" thickBot="1" x14ac:dyDescent="0.35">
      <c r="A8" s="4" t="s">
        <v>57</v>
      </c>
      <c r="B8" s="4">
        <v>30</v>
      </c>
    </row>
    <row r="10" spans="1:9" ht="15" thickBot="1" x14ac:dyDescent="0.35">
      <c r="A10" t="s">
        <v>36</v>
      </c>
    </row>
    <row r="11" spans="1:9" x14ac:dyDescent="0.3">
      <c r="A11" s="5"/>
      <c r="B11" s="5" t="s">
        <v>39</v>
      </c>
      <c r="C11" s="5" t="s">
        <v>38</v>
      </c>
      <c r="D11" s="5" t="s">
        <v>40</v>
      </c>
      <c r="E11" s="5" t="s">
        <v>41</v>
      </c>
      <c r="F11" s="5" t="s">
        <v>93</v>
      </c>
    </row>
    <row r="12" spans="1:9" x14ac:dyDescent="0.3">
      <c r="A12" t="s">
        <v>90</v>
      </c>
      <c r="B12">
        <v>1</v>
      </c>
      <c r="C12">
        <v>529.90049433222532</v>
      </c>
      <c r="D12">
        <v>529.90049433222532</v>
      </c>
      <c r="E12">
        <v>1209.6042218192183</v>
      </c>
      <c r="F12">
        <v>1.3905495380109056E-24</v>
      </c>
    </row>
    <row r="13" spans="1:9" x14ac:dyDescent="0.3">
      <c r="A13" t="s">
        <v>91</v>
      </c>
      <c r="B13">
        <v>28</v>
      </c>
      <c r="C13">
        <v>12.266172334441313</v>
      </c>
      <c r="D13">
        <v>0.43807758337290403</v>
      </c>
    </row>
    <row r="14" spans="1:9" ht="15" thickBot="1" x14ac:dyDescent="0.35">
      <c r="A14" s="4" t="s">
        <v>46</v>
      </c>
      <c r="B14" s="4">
        <v>29</v>
      </c>
      <c r="C14" s="4">
        <v>542.16666666666663</v>
      </c>
      <c r="D14" s="4"/>
      <c r="E14" s="4"/>
      <c r="F14" s="4"/>
    </row>
    <row r="15" spans="1:9" ht="15" thickBot="1" x14ac:dyDescent="0.35"/>
    <row r="16" spans="1:9" x14ac:dyDescent="0.3">
      <c r="A16" s="5"/>
      <c r="B16" s="5" t="s">
        <v>94</v>
      </c>
      <c r="C16" s="5" t="s">
        <v>11</v>
      </c>
      <c r="D16" s="5" t="s">
        <v>60</v>
      </c>
      <c r="E16" s="5" t="s">
        <v>42</v>
      </c>
      <c r="F16" s="5" t="s">
        <v>95</v>
      </c>
      <c r="G16" s="5" t="s">
        <v>96</v>
      </c>
      <c r="H16" s="5" t="s">
        <v>97</v>
      </c>
      <c r="I16" s="5" t="s">
        <v>98</v>
      </c>
    </row>
    <row r="17" spans="1:9" x14ac:dyDescent="0.3">
      <c r="A17" t="s">
        <v>92</v>
      </c>
      <c r="B17">
        <v>-104.6810278701099</v>
      </c>
      <c r="C17">
        <v>4.9713036073133647</v>
      </c>
      <c r="D17">
        <v>-21.057057894454879</v>
      </c>
      <c r="E17">
        <v>1.0462460111283477E-18</v>
      </c>
      <c r="F17">
        <v>-114.86428168336306</v>
      </c>
      <c r="G17">
        <v>-94.497774056856741</v>
      </c>
      <c r="H17">
        <v>-114.86428168336306</v>
      </c>
      <c r="I17">
        <v>-94.497774056856741</v>
      </c>
    </row>
    <row r="18" spans="1:9" ht="15" thickBot="1" x14ac:dyDescent="0.35">
      <c r="A18" s="4" t="s">
        <v>5</v>
      </c>
      <c r="B18" s="4">
        <v>1.0080542060853999</v>
      </c>
      <c r="C18" s="4">
        <v>2.8984261484136839E-2</v>
      </c>
      <c r="D18" s="4">
        <v>34.779364885219188</v>
      </c>
      <c r="E18" s="4">
        <v>1.3905495380109155E-24</v>
      </c>
      <c r="F18" s="4">
        <v>0.94868263786163309</v>
      </c>
      <c r="G18" s="4">
        <v>1.0674257743091666</v>
      </c>
      <c r="H18" s="4">
        <v>0.94868263786163309</v>
      </c>
      <c r="I18" s="4">
        <v>1.0674257743091666</v>
      </c>
    </row>
    <row r="20" spans="1:9" x14ac:dyDescent="0.3">
      <c r="A20" s="3"/>
    </row>
    <row r="21" spans="1:9" x14ac:dyDescent="0.3">
      <c r="A21" s="3" t="s">
        <v>99</v>
      </c>
      <c r="B21">
        <v>0.97737564278922595</v>
      </c>
    </row>
    <row r="22" spans="1:9" x14ac:dyDescent="0.3">
      <c r="A22" s="3" t="s">
        <v>53</v>
      </c>
      <c r="B22" t="s">
        <v>100</v>
      </c>
    </row>
    <row r="23" spans="1:9" x14ac:dyDescent="0.3">
      <c r="A23" s="3" t="s">
        <v>101</v>
      </c>
      <c r="B23" t="s">
        <v>102</v>
      </c>
    </row>
    <row r="24" spans="1:9" x14ac:dyDescent="0.3">
      <c r="A24" s="3"/>
      <c r="B24" t="s">
        <v>103</v>
      </c>
    </row>
    <row r="25" spans="1:9" x14ac:dyDescent="0.3">
      <c r="B25" s="3"/>
    </row>
    <row r="26" spans="1:9" x14ac:dyDescent="0.3">
      <c r="A26" s="3" t="s">
        <v>56</v>
      </c>
      <c r="B26" s="11" t="s">
        <v>104</v>
      </c>
      <c r="C26" s="11"/>
      <c r="D26" s="11"/>
      <c r="E26" s="11"/>
      <c r="F26" s="11"/>
      <c r="G26" s="11"/>
      <c r="H26" s="11"/>
    </row>
  </sheetData>
  <mergeCells count="1">
    <mergeCell ref="B26:H2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C49A-6EC3-4337-AA31-A857D25E31B8}">
  <dimension ref="A1:N31"/>
  <sheetViews>
    <sheetView workbookViewId="0">
      <selection activeCell="M1" sqref="M1:N31"/>
    </sheetView>
  </sheetViews>
  <sheetFormatPr defaultRowHeight="14.4" x14ac:dyDescent="0.3"/>
  <cols>
    <col min="2" max="2" width="12" customWidth="1"/>
    <col min="3" max="3" width="13.33203125" customWidth="1"/>
    <col min="4" max="4" width="11.88671875" customWidth="1"/>
    <col min="5" max="5" width="12" customWidth="1"/>
    <col min="6" max="6" width="11.44140625" customWidth="1"/>
    <col min="7" max="7" width="11.33203125" customWidth="1"/>
    <col min="13" max="13" width="11.44140625" customWidth="1"/>
    <col min="14" max="14" width="11.33203125" customWidth="1"/>
  </cols>
  <sheetData>
    <row r="1" spans="1:14" ht="15.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3" t="s">
        <v>7</v>
      </c>
      <c r="J1" s="3" t="s">
        <v>8</v>
      </c>
      <c r="K1" s="3" t="s">
        <v>9</v>
      </c>
      <c r="M1" s="3" t="s">
        <v>5</v>
      </c>
      <c r="N1" s="3" t="s">
        <v>6</v>
      </c>
    </row>
    <row r="2" spans="1:14" ht="15" x14ac:dyDescent="0.3">
      <c r="A2" s="1">
        <v>1</v>
      </c>
      <c r="B2" t="s">
        <v>7</v>
      </c>
      <c r="C2">
        <v>48</v>
      </c>
      <c r="D2">
        <v>68</v>
      </c>
      <c r="E2">
        <v>75</v>
      </c>
      <c r="F2">
        <v>165</v>
      </c>
      <c r="G2">
        <v>62</v>
      </c>
      <c r="I2">
        <v>48</v>
      </c>
      <c r="J2">
        <v>56</v>
      </c>
      <c r="K2">
        <v>62</v>
      </c>
      <c r="M2">
        <v>165</v>
      </c>
      <c r="N2">
        <v>62</v>
      </c>
    </row>
    <row r="3" spans="1:14" ht="15" x14ac:dyDescent="0.3">
      <c r="A3" s="1">
        <v>2</v>
      </c>
      <c r="B3" t="s">
        <v>7</v>
      </c>
      <c r="C3">
        <v>52</v>
      </c>
      <c r="D3">
        <v>71</v>
      </c>
      <c r="E3">
        <v>78</v>
      </c>
      <c r="F3">
        <v>170</v>
      </c>
      <c r="G3">
        <v>66</v>
      </c>
      <c r="I3">
        <v>52</v>
      </c>
      <c r="J3">
        <v>54</v>
      </c>
      <c r="K3">
        <v>64</v>
      </c>
      <c r="M3">
        <v>170</v>
      </c>
      <c r="N3">
        <v>66</v>
      </c>
    </row>
    <row r="4" spans="1:14" ht="15" x14ac:dyDescent="0.3">
      <c r="A4" s="1">
        <v>3</v>
      </c>
      <c r="B4" t="s">
        <v>7</v>
      </c>
      <c r="C4">
        <v>50</v>
      </c>
      <c r="D4">
        <v>69</v>
      </c>
      <c r="E4">
        <v>76</v>
      </c>
      <c r="F4">
        <v>168</v>
      </c>
      <c r="G4">
        <v>64</v>
      </c>
      <c r="I4">
        <v>50</v>
      </c>
      <c r="J4">
        <v>58</v>
      </c>
      <c r="K4">
        <v>60</v>
      </c>
      <c r="M4">
        <v>168</v>
      </c>
      <c r="N4">
        <v>64</v>
      </c>
    </row>
    <row r="5" spans="1:14" ht="15" x14ac:dyDescent="0.3">
      <c r="A5" s="1">
        <v>4</v>
      </c>
      <c r="B5" t="s">
        <v>7</v>
      </c>
      <c r="C5">
        <v>54</v>
      </c>
      <c r="D5">
        <v>73</v>
      </c>
      <c r="E5">
        <v>80</v>
      </c>
      <c r="F5">
        <v>172</v>
      </c>
      <c r="G5">
        <v>67</v>
      </c>
      <c r="I5">
        <v>54</v>
      </c>
      <c r="J5">
        <v>57</v>
      </c>
      <c r="K5">
        <v>65</v>
      </c>
      <c r="M5">
        <v>172</v>
      </c>
      <c r="N5">
        <v>67</v>
      </c>
    </row>
    <row r="6" spans="1:14" ht="15" x14ac:dyDescent="0.3">
      <c r="A6" s="1">
        <v>5</v>
      </c>
      <c r="B6" t="s">
        <v>7</v>
      </c>
      <c r="C6">
        <v>47</v>
      </c>
      <c r="D6">
        <v>67</v>
      </c>
      <c r="E6">
        <v>74</v>
      </c>
      <c r="F6">
        <v>166</v>
      </c>
      <c r="G6">
        <v>63</v>
      </c>
      <c r="I6">
        <v>47</v>
      </c>
      <c r="J6">
        <v>55</v>
      </c>
      <c r="K6">
        <v>63</v>
      </c>
      <c r="M6">
        <v>166</v>
      </c>
      <c r="N6">
        <v>63</v>
      </c>
    </row>
    <row r="7" spans="1:14" ht="15" x14ac:dyDescent="0.3">
      <c r="A7" s="1">
        <v>6</v>
      </c>
      <c r="B7" t="s">
        <v>7</v>
      </c>
      <c r="C7">
        <v>51</v>
      </c>
      <c r="D7">
        <v>70</v>
      </c>
      <c r="E7">
        <v>77</v>
      </c>
      <c r="F7">
        <v>169</v>
      </c>
      <c r="G7">
        <v>65</v>
      </c>
      <c r="I7">
        <v>51</v>
      </c>
      <c r="J7">
        <v>59</v>
      </c>
      <c r="K7">
        <v>66</v>
      </c>
      <c r="M7">
        <v>169</v>
      </c>
      <c r="N7">
        <v>65</v>
      </c>
    </row>
    <row r="8" spans="1:14" ht="15" x14ac:dyDescent="0.3">
      <c r="A8" s="1">
        <v>7</v>
      </c>
      <c r="B8" t="s">
        <v>7</v>
      </c>
      <c r="C8">
        <v>49</v>
      </c>
      <c r="D8">
        <v>69</v>
      </c>
      <c r="E8">
        <v>75</v>
      </c>
      <c r="F8">
        <v>167</v>
      </c>
      <c r="G8">
        <v>64</v>
      </c>
      <c r="I8">
        <v>49</v>
      </c>
      <c r="J8">
        <v>53</v>
      </c>
      <c r="K8">
        <v>61</v>
      </c>
      <c r="M8">
        <v>167</v>
      </c>
      <c r="N8">
        <v>64</v>
      </c>
    </row>
    <row r="9" spans="1:14" ht="15" x14ac:dyDescent="0.3">
      <c r="A9" s="1">
        <v>8</v>
      </c>
      <c r="B9" t="s">
        <v>7</v>
      </c>
      <c r="C9">
        <v>53</v>
      </c>
      <c r="D9">
        <v>72</v>
      </c>
      <c r="E9">
        <v>79</v>
      </c>
      <c r="F9">
        <v>171</v>
      </c>
      <c r="G9">
        <v>66</v>
      </c>
      <c r="I9">
        <v>53</v>
      </c>
      <c r="J9">
        <v>60</v>
      </c>
      <c r="K9">
        <v>67</v>
      </c>
      <c r="M9">
        <v>171</v>
      </c>
      <c r="N9">
        <v>66</v>
      </c>
    </row>
    <row r="10" spans="1:14" ht="15" x14ac:dyDescent="0.3">
      <c r="A10" s="1">
        <v>9</v>
      </c>
      <c r="B10" t="s">
        <v>7</v>
      </c>
      <c r="C10">
        <v>46</v>
      </c>
      <c r="D10">
        <v>66</v>
      </c>
      <c r="E10">
        <v>73</v>
      </c>
      <c r="F10">
        <v>164</v>
      </c>
      <c r="G10">
        <v>61</v>
      </c>
      <c r="I10">
        <v>46</v>
      </c>
      <c r="J10">
        <v>52</v>
      </c>
      <c r="K10">
        <v>59</v>
      </c>
      <c r="M10">
        <v>164</v>
      </c>
      <c r="N10">
        <v>61</v>
      </c>
    </row>
    <row r="11" spans="1:14" ht="15" x14ac:dyDescent="0.3">
      <c r="A11" s="1">
        <v>10</v>
      </c>
      <c r="B11" t="s">
        <v>7</v>
      </c>
      <c r="C11">
        <v>55</v>
      </c>
      <c r="D11">
        <v>74</v>
      </c>
      <c r="E11">
        <v>81</v>
      </c>
      <c r="F11">
        <v>173</v>
      </c>
      <c r="G11">
        <v>68</v>
      </c>
      <c r="I11">
        <v>55</v>
      </c>
      <c r="J11">
        <v>61</v>
      </c>
      <c r="K11">
        <v>68</v>
      </c>
      <c r="M11">
        <v>173</v>
      </c>
      <c r="N11">
        <v>68</v>
      </c>
    </row>
    <row r="12" spans="1:14" ht="15" x14ac:dyDescent="0.3">
      <c r="A12" s="1">
        <v>11</v>
      </c>
      <c r="B12" t="s">
        <v>8</v>
      </c>
      <c r="C12">
        <v>56</v>
      </c>
      <c r="D12">
        <v>70</v>
      </c>
      <c r="E12">
        <v>76</v>
      </c>
      <c r="F12">
        <v>168</v>
      </c>
      <c r="G12">
        <v>65</v>
      </c>
      <c r="M12">
        <v>168</v>
      </c>
      <c r="N12">
        <v>65</v>
      </c>
    </row>
    <row r="13" spans="1:14" ht="15" x14ac:dyDescent="0.3">
      <c r="A13" s="1">
        <v>12</v>
      </c>
      <c r="B13" t="s">
        <v>8</v>
      </c>
      <c r="C13">
        <v>54</v>
      </c>
      <c r="D13">
        <v>69</v>
      </c>
      <c r="E13">
        <v>75</v>
      </c>
      <c r="F13">
        <v>169</v>
      </c>
      <c r="G13">
        <v>66</v>
      </c>
      <c r="M13">
        <v>169</v>
      </c>
      <c r="N13">
        <v>66</v>
      </c>
    </row>
    <row r="14" spans="1:14" ht="15" x14ac:dyDescent="0.3">
      <c r="A14" s="1">
        <v>13</v>
      </c>
      <c r="B14" t="s">
        <v>8</v>
      </c>
      <c r="C14">
        <v>58</v>
      </c>
      <c r="D14">
        <v>71</v>
      </c>
      <c r="E14">
        <v>77</v>
      </c>
      <c r="F14">
        <v>170</v>
      </c>
      <c r="G14">
        <v>67</v>
      </c>
      <c r="M14">
        <v>170</v>
      </c>
      <c r="N14">
        <v>67</v>
      </c>
    </row>
    <row r="15" spans="1:14" ht="15" x14ac:dyDescent="0.3">
      <c r="A15" s="1">
        <v>14</v>
      </c>
      <c r="B15" t="s">
        <v>8</v>
      </c>
      <c r="C15">
        <v>57</v>
      </c>
      <c r="D15">
        <v>72</v>
      </c>
      <c r="E15">
        <v>78</v>
      </c>
      <c r="F15">
        <v>171</v>
      </c>
      <c r="G15">
        <v>68</v>
      </c>
      <c r="M15">
        <v>171</v>
      </c>
      <c r="N15">
        <v>68</v>
      </c>
    </row>
    <row r="16" spans="1:14" ht="15" x14ac:dyDescent="0.3">
      <c r="A16" s="1">
        <v>15</v>
      </c>
      <c r="B16" t="s">
        <v>8</v>
      </c>
      <c r="C16">
        <v>55</v>
      </c>
      <c r="D16">
        <v>70</v>
      </c>
      <c r="E16">
        <v>76</v>
      </c>
      <c r="F16">
        <v>169</v>
      </c>
      <c r="G16">
        <v>66</v>
      </c>
      <c r="M16">
        <v>169</v>
      </c>
      <c r="N16">
        <v>66</v>
      </c>
    </row>
    <row r="17" spans="1:14" ht="15" x14ac:dyDescent="0.3">
      <c r="A17" s="1">
        <v>16</v>
      </c>
      <c r="B17" t="s">
        <v>8</v>
      </c>
      <c r="C17">
        <v>59</v>
      </c>
      <c r="D17">
        <v>73</v>
      </c>
      <c r="E17">
        <v>79</v>
      </c>
      <c r="F17">
        <v>172</v>
      </c>
      <c r="G17">
        <v>69</v>
      </c>
      <c r="M17">
        <v>172</v>
      </c>
      <c r="N17">
        <v>69</v>
      </c>
    </row>
    <row r="18" spans="1:14" ht="15" x14ac:dyDescent="0.3">
      <c r="A18" s="1">
        <v>17</v>
      </c>
      <c r="B18" t="s">
        <v>8</v>
      </c>
      <c r="C18">
        <v>53</v>
      </c>
      <c r="D18">
        <v>68</v>
      </c>
      <c r="E18">
        <v>74</v>
      </c>
      <c r="F18">
        <v>167</v>
      </c>
      <c r="G18">
        <v>64</v>
      </c>
      <c r="M18">
        <v>167</v>
      </c>
      <c r="N18">
        <v>64</v>
      </c>
    </row>
    <row r="19" spans="1:14" ht="15" x14ac:dyDescent="0.3">
      <c r="A19" s="1">
        <v>18</v>
      </c>
      <c r="B19" t="s">
        <v>8</v>
      </c>
      <c r="C19">
        <v>60</v>
      </c>
      <c r="D19">
        <v>74</v>
      </c>
      <c r="E19">
        <v>80</v>
      </c>
      <c r="F19">
        <v>173</v>
      </c>
      <c r="G19">
        <v>70</v>
      </c>
      <c r="M19">
        <v>173</v>
      </c>
      <c r="N19">
        <v>70</v>
      </c>
    </row>
    <row r="20" spans="1:14" ht="15" x14ac:dyDescent="0.3">
      <c r="A20" s="1">
        <v>19</v>
      </c>
      <c r="B20" t="s">
        <v>8</v>
      </c>
      <c r="C20">
        <v>52</v>
      </c>
      <c r="D20">
        <v>67</v>
      </c>
      <c r="E20">
        <v>73</v>
      </c>
      <c r="F20">
        <v>166</v>
      </c>
      <c r="G20">
        <v>63</v>
      </c>
      <c r="M20">
        <v>166</v>
      </c>
      <c r="N20">
        <v>63</v>
      </c>
    </row>
    <row r="21" spans="1:14" ht="15" x14ac:dyDescent="0.3">
      <c r="A21" s="1">
        <v>20</v>
      </c>
      <c r="B21" t="s">
        <v>8</v>
      </c>
      <c r="C21">
        <v>61</v>
      </c>
      <c r="D21">
        <v>75</v>
      </c>
      <c r="E21">
        <v>82</v>
      </c>
      <c r="F21">
        <v>174</v>
      </c>
      <c r="G21">
        <v>71</v>
      </c>
      <c r="M21">
        <v>174</v>
      </c>
      <c r="N21">
        <v>71</v>
      </c>
    </row>
    <row r="22" spans="1:14" ht="15" x14ac:dyDescent="0.3">
      <c r="A22" s="1">
        <v>21</v>
      </c>
      <c r="B22" t="s">
        <v>9</v>
      </c>
      <c r="C22">
        <v>62</v>
      </c>
      <c r="D22">
        <v>71</v>
      </c>
      <c r="E22">
        <v>78</v>
      </c>
      <c r="F22">
        <v>175</v>
      </c>
      <c r="G22">
        <v>72</v>
      </c>
      <c r="M22">
        <v>175</v>
      </c>
      <c r="N22">
        <v>72</v>
      </c>
    </row>
    <row r="23" spans="1:14" ht="15" x14ac:dyDescent="0.3">
      <c r="A23" s="1">
        <v>22</v>
      </c>
      <c r="B23" t="s">
        <v>9</v>
      </c>
      <c r="C23">
        <v>64</v>
      </c>
      <c r="D23">
        <v>73</v>
      </c>
      <c r="E23">
        <v>80</v>
      </c>
      <c r="F23">
        <v>176</v>
      </c>
      <c r="G23">
        <v>73</v>
      </c>
      <c r="M23">
        <v>176</v>
      </c>
      <c r="N23">
        <v>73</v>
      </c>
    </row>
    <row r="24" spans="1:14" ht="15" x14ac:dyDescent="0.3">
      <c r="A24" s="1">
        <v>23</v>
      </c>
      <c r="B24" t="s">
        <v>9</v>
      </c>
      <c r="C24">
        <v>60</v>
      </c>
      <c r="D24">
        <v>70</v>
      </c>
      <c r="E24">
        <v>77</v>
      </c>
      <c r="F24">
        <v>174</v>
      </c>
      <c r="G24">
        <v>71</v>
      </c>
      <c r="M24">
        <v>174</v>
      </c>
      <c r="N24">
        <v>71</v>
      </c>
    </row>
    <row r="25" spans="1:14" ht="15" x14ac:dyDescent="0.3">
      <c r="A25" s="1">
        <v>24</v>
      </c>
      <c r="B25" t="s">
        <v>9</v>
      </c>
      <c r="C25">
        <v>65</v>
      </c>
      <c r="D25">
        <v>74</v>
      </c>
      <c r="E25">
        <v>81</v>
      </c>
      <c r="F25">
        <v>177</v>
      </c>
      <c r="G25">
        <v>74</v>
      </c>
      <c r="M25">
        <v>177</v>
      </c>
      <c r="N25">
        <v>74</v>
      </c>
    </row>
    <row r="26" spans="1:14" ht="15" x14ac:dyDescent="0.3">
      <c r="A26" s="1">
        <v>25</v>
      </c>
      <c r="B26" t="s">
        <v>9</v>
      </c>
      <c r="C26">
        <v>63</v>
      </c>
      <c r="D26">
        <v>72</v>
      </c>
      <c r="E26">
        <v>79</v>
      </c>
      <c r="F26">
        <v>176</v>
      </c>
      <c r="G26">
        <v>73</v>
      </c>
      <c r="M26">
        <v>176</v>
      </c>
      <c r="N26">
        <v>73</v>
      </c>
    </row>
    <row r="27" spans="1:14" ht="15" x14ac:dyDescent="0.3">
      <c r="A27" s="1">
        <v>26</v>
      </c>
      <c r="B27" t="s">
        <v>9</v>
      </c>
      <c r="C27">
        <v>66</v>
      </c>
      <c r="D27">
        <v>75</v>
      </c>
      <c r="E27">
        <v>82</v>
      </c>
      <c r="F27">
        <v>178</v>
      </c>
      <c r="G27">
        <v>75</v>
      </c>
      <c r="M27">
        <v>178</v>
      </c>
      <c r="N27">
        <v>75</v>
      </c>
    </row>
    <row r="28" spans="1:14" ht="15" x14ac:dyDescent="0.3">
      <c r="A28" s="1">
        <v>27</v>
      </c>
      <c r="B28" t="s">
        <v>9</v>
      </c>
      <c r="C28">
        <v>61</v>
      </c>
      <c r="D28">
        <v>69</v>
      </c>
      <c r="E28">
        <v>76</v>
      </c>
      <c r="F28">
        <v>173</v>
      </c>
      <c r="G28">
        <v>70</v>
      </c>
      <c r="M28">
        <v>173</v>
      </c>
      <c r="N28">
        <v>70</v>
      </c>
    </row>
    <row r="29" spans="1:14" ht="15" x14ac:dyDescent="0.3">
      <c r="A29" s="1">
        <v>28</v>
      </c>
      <c r="B29" t="s">
        <v>9</v>
      </c>
      <c r="C29">
        <v>67</v>
      </c>
      <c r="D29">
        <v>76</v>
      </c>
      <c r="E29">
        <v>83</v>
      </c>
      <c r="F29">
        <v>179</v>
      </c>
      <c r="G29">
        <v>76</v>
      </c>
      <c r="M29">
        <v>179</v>
      </c>
      <c r="N29">
        <v>76</v>
      </c>
    </row>
    <row r="30" spans="1:14" ht="15" x14ac:dyDescent="0.3">
      <c r="A30" s="1">
        <v>29</v>
      </c>
      <c r="B30" t="s">
        <v>9</v>
      </c>
      <c r="C30">
        <v>59</v>
      </c>
      <c r="D30">
        <v>68</v>
      </c>
      <c r="E30">
        <v>75</v>
      </c>
      <c r="F30">
        <v>172</v>
      </c>
      <c r="G30">
        <v>69</v>
      </c>
      <c r="M30">
        <v>172</v>
      </c>
      <c r="N30">
        <v>69</v>
      </c>
    </row>
    <row r="31" spans="1:14" ht="15" x14ac:dyDescent="0.3">
      <c r="A31" s="1">
        <v>30</v>
      </c>
      <c r="B31" t="s">
        <v>9</v>
      </c>
      <c r="C31">
        <v>68</v>
      </c>
      <c r="D31">
        <v>77</v>
      </c>
      <c r="E31">
        <v>84</v>
      </c>
      <c r="F31">
        <v>180</v>
      </c>
      <c r="G31">
        <v>77</v>
      </c>
      <c r="M31">
        <v>180</v>
      </c>
      <c r="N31">
        <v>77</v>
      </c>
    </row>
  </sheetData>
  <autoFilter ref="A1:G31" xr:uid="{049FC49A-6EC3-4337-AA31-A857D25E31B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3f466b-609c-4e67-901d-4c3776869685">
      <Terms xmlns="http://schemas.microsoft.com/office/infopath/2007/PartnerControls"/>
    </lcf76f155ced4ddcb4097134ff3c332f>
    <TaxCatchAll xmlns="0fcbfaf9-8504-41f7-be37-d978b6bdd53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7863E46FCF3D4790989BB31F8E05F7" ma:contentTypeVersion="11" ma:contentTypeDescription="Create a new document." ma:contentTypeScope="" ma:versionID="f181bc390a4dfdafca6c632f1f2079f6">
  <xsd:schema xmlns:xsd="http://www.w3.org/2001/XMLSchema" xmlns:xs="http://www.w3.org/2001/XMLSchema" xmlns:p="http://schemas.microsoft.com/office/2006/metadata/properties" xmlns:ns2="073f466b-609c-4e67-901d-4c3776869685" xmlns:ns3="0fcbfaf9-8504-41f7-be37-d978b6bdd53b" targetNamespace="http://schemas.microsoft.com/office/2006/metadata/properties" ma:root="true" ma:fieldsID="2595ce580bc6beb7fbc5e477018ee7ce" ns2:_="" ns3:_="">
    <xsd:import namespace="073f466b-609c-4e67-901d-4c3776869685"/>
    <xsd:import namespace="0fcbfaf9-8504-41f7-be37-d978b6bdd5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f466b-609c-4e67-901d-4c3776869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9d5761f-4309-40be-b527-3e2d09d60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cbfaf9-8504-41f7-be37-d978b6bdd53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17e0ba5-9ab7-4eb5-a9fc-942b73dc0a9a}" ma:internalName="TaxCatchAll" ma:showField="CatchAllData" ma:web="0fcbfaf9-8504-41f7-be37-d978b6bdd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77DD04-2BD9-442E-83F8-EB9A8BAD39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8836BD-6ACA-4F54-A4A6-A656742DC483}">
  <ds:schemaRefs>
    <ds:schemaRef ds:uri="http://schemas.microsoft.com/office/2006/metadata/properties"/>
    <ds:schemaRef ds:uri="http://schemas.microsoft.com/office/infopath/2007/PartnerControls"/>
    <ds:schemaRef ds:uri="073f466b-609c-4e67-901d-4c3776869685"/>
    <ds:schemaRef ds:uri="0fcbfaf9-8504-41f7-be37-d978b6bdd53b"/>
  </ds:schemaRefs>
</ds:datastoreItem>
</file>

<file path=customXml/itemProps3.xml><?xml version="1.0" encoding="utf-8"?>
<ds:datastoreItem xmlns:ds="http://schemas.openxmlformats.org/officeDocument/2006/customXml" ds:itemID="{2FD107C8-4A0F-43AD-A962-9C77096998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3f466b-609c-4e67-901d-4c3776869685"/>
    <ds:schemaRef ds:uri="0fcbfaf9-8504-41f7-be37-d978b6bdd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desc</vt:lpstr>
      <vt:lpstr>hist</vt:lpstr>
      <vt:lpstr>anova</vt:lpstr>
      <vt:lpstr>paired t</vt:lpstr>
      <vt:lpstr>f-test</vt:lpstr>
      <vt:lpstr>equal t</vt:lpstr>
      <vt:lpstr>unequal t</vt:lpstr>
      <vt:lpstr>correlation</vt:lpstr>
      <vt:lpstr>regression</vt:lpstr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Mattheus Marcus B. Contreras</dc:creator>
  <cp:keywords/>
  <dc:description/>
  <cp:lastModifiedBy>Prince Jason  R. Capendit</cp:lastModifiedBy>
  <cp:revision/>
  <dcterms:created xsi:type="dcterms:W3CDTF">2026-04-08T01:28:43Z</dcterms:created>
  <dcterms:modified xsi:type="dcterms:W3CDTF">2026-04-11T12:04:18Z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0x0101004D7863E46FCF3D4790989BB31F8E05F7</vt:lpwstr>
  </property>
  <property fmtid="{D5CDD505-2E9C-101B-9397-08002B2CF9AE}" pid="3" name="MediaServiceImageTags">
    <vt:lpwstr/>
  </property>
</Properties>
</file>